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MGMT\Desktop\"/>
    </mc:Choice>
  </mc:AlternateContent>
  <bookViews>
    <workbookView xWindow="0" yWindow="0" windowWidth="16572" windowHeight="4380" activeTab="5"/>
  </bookViews>
  <sheets>
    <sheet name="CIS Marking Scheme Import" sheetId="1" r:id="rId1"/>
    <sheet name="Efremov E" sheetId="2" r:id="rId2"/>
    <sheet name="Netepenko A" sheetId="3" r:id="rId3"/>
    <sheet name="Marchenko M" sheetId="4" r:id="rId4"/>
    <sheet name="Osipov A" sheetId="5" r:id="rId5"/>
    <sheet name="Summary" sheetId="6" r:id="rId6"/>
  </sheets>
  <calcPr calcId="15251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42" i="5" l="1"/>
  <c r="C42" i="4"/>
  <c r="C42" i="3"/>
  <c r="D42" i="5"/>
  <c r="B9" i="6" s="1"/>
  <c r="D42" i="4"/>
  <c r="B8" i="6" s="1"/>
  <c r="D42" i="3"/>
  <c r="B7" i="6" s="1"/>
  <c r="D42" i="2"/>
  <c r="B6" i="6" s="1"/>
  <c r="C42" i="2"/>
  <c r="A9" i="6"/>
  <c r="A8" i="6"/>
  <c r="A7" i="6"/>
  <c r="A6" i="6"/>
  <c r="B2" i="6"/>
  <c r="B34" i="5" l="1"/>
  <c r="B20" i="5"/>
  <c r="B13" i="5"/>
  <c r="B6" i="5"/>
  <c r="B2" i="5"/>
  <c r="B34" i="4"/>
  <c r="B20" i="4"/>
  <c r="B13" i="4"/>
  <c r="B6" i="4"/>
  <c r="B2" i="4"/>
  <c r="B34" i="3"/>
  <c r="B20" i="3"/>
  <c r="B13" i="3"/>
  <c r="B6" i="3"/>
  <c r="B2" i="3"/>
  <c r="B34" i="2"/>
  <c r="B20" i="2"/>
  <c r="B13" i="2"/>
  <c r="B6" i="2"/>
  <c r="B2" i="2"/>
  <c r="E7" i="1" l="1"/>
  <c r="E6" i="1"/>
  <c r="E5" i="1"/>
  <c r="E4" i="1"/>
  <c r="K16" i="1" l="1"/>
</calcChain>
</file>

<file path=xl/comments1.xml><?xml version="1.0" encoding="utf-8"?>
<comments xmlns="http://schemas.openxmlformats.org/spreadsheetml/2006/main">
  <authors>
    <author>Peter Neate</author>
  </authors>
  <commentList>
    <comment ref="D2" authorId="0" shapeId="0">
      <text>
        <r>
          <rPr>
            <b/>
            <sz val="10"/>
            <color indexed="81"/>
            <rFont val="Tahoma"/>
            <family val="2"/>
          </rPr>
          <t>Enter Skill Name Here</t>
        </r>
      </text>
    </comment>
  </commentList>
</comments>
</file>

<file path=xl/sharedStrings.xml><?xml version="1.0" encoding="utf-8"?>
<sst xmlns="http://schemas.openxmlformats.org/spreadsheetml/2006/main" count="548" uniqueCount="100">
  <si>
    <t>Skill name</t>
  </si>
  <si>
    <t>Criteria</t>
  </si>
  <si>
    <t>Mark</t>
  </si>
  <si>
    <t>Sub
Criteria
ID</t>
  </si>
  <si>
    <t>Sub Criteria
Name or Description</t>
  </si>
  <si>
    <t>Aspect
Type
O = Obj
S = Sub
J = Judg</t>
  </si>
  <si>
    <t>Aspect - Description</t>
  </si>
  <si>
    <t>Judg Score</t>
  </si>
  <si>
    <t>Requirement
or Nominal
Size (Obj Only)</t>
  </si>
  <si>
    <t>WSSS Section</t>
  </si>
  <si>
    <t>Max
Mark</t>
  </si>
  <si>
    <t>Total
Mark</t>
  </si>
  <si>
    <t>Extra Aspect Description (Obj or Subj)
OR
Judgement Score Description (Judg only)</t>
  </si>
  <si>
    <t>Сетевое и системное администрирование - IT Network Systems Administration</t>
  </si>
  <si>
    <t>A</t>
  </si>
  <si>
    <t>B</t>
  </si>
  <si>
    <t>C</t>
  </si>
  <si>
    <t/>
  </si>
  <si>
    <t>O</t>
  </si>
  <si>
    <t>B1</t>
  </si>
  <si>
    <t xml:space="preserve">Windows </t>
  </si>
  <si>
    <t>Установить и настройте active directory c доменным именем ht2021.local</t>
  </si>
  <si>
    <t>Установить и настройте DNS сервер (прямая и обратная зона)</t>
  </si>
  <si>
    <t>Установить и настройте DHPC сервер с дополнительными опциями</t>
  </si>
  <si>
    <t>Создать группу безопасности и пользователя в подразделении ( BD, lorries, OUBD)</t>
  </si>
  <si>
    <t xml:space="preserve">Создайте GPO локальная группа администраторов должна входить в группу BD </t>
  </si>
  <si>
    <t>Добавите в домен DEV1, DEV2</t>
  </si>
  <si>
    <t>VMware</t>
  </si>
  <si>
    <t>Базовая настройка</t>
  </si>
  <si>
    <t>Добавите vcsa в домен группа доменных администраторов должна иметь полный доступ</t>
  </si>
  <si>
    <t>Создать кластер ClusterHT хосты должны быть добавлены по именам</t>
  </si>
  <si>
    <t>Создайте кластер хранения DatastoreClusterHT из имеющихся дисков на хостах</t>
  </si>
  <si>
    <t>Создайте все необходимые Distributed switch</t>
  </si>
  <si>
    <t>Создайте виртуальную машину и преобразуйте ее в шаблон</t>
  </si>
  <si>
    <t>LINUX</t>
  </si>
  <si>
    <t>С помощью terraform создайте виртуальные машины (k8s1, k8s2, k8s3)</t>
  </si>
  <si>
    <t>ВМ должны быть доступны из сети 172.30.0.0/24</t>
  </si>
  <si>
    <t>Конфигурационные файлы terraform сохранить в (/home/user/terraform)</t>
  </si>
  <si>
    <t>Создайте ВМ с именем nfs</t>
  </si>
  <si>
    <t>Установите сервисы nfs и экспортируйте директорию /srv/nfs/k8s</t>
  </si>
  <si>
    <t>С помощью kubspray разверните кластер kubernetes на ВМ (k8s1, k8s2, k8s3)</t>
  </si>
  <si>
    <t>Управление кластером должно быть доступно с ВМ DEV2 из под пользователя user.</t>
  </si>
  <si>
    <t>В kubernetes запустите приложение “voting app”</t>
  </si>
  <si>
    <t>Приложение Vote должно быть доступно на порту “30300”</t>
  </si>
  <si>
    <t>Приложение Result должно быть доступно на порту “30400”</t>
  </si>
  <si>
    <t>Создайте ingress для сервисов vote и result</t>
  </si>
  <si>
    <t>Сервис vote должен быть доступен по адресу “vote.ht2021.local”</t>
  </si>
  <si>
    <t>Сервис result должен быть доступен по адресу “result.ht2021.local”</t>
  </si>
  <si>
    <t>Monitoring</t>
  </si>
  <si>
    <t>Установите Prometheus в кластер kubernetes</t>
  </si>
  <si>
    <t>Установите Grafana и подключите к сервису Prometheus</t>
  </si>
  <si>
    <t>Установите dashboards: 1860, 7249</t>
  </si>
  <si>
    <t xml:space="preserve">Grafana должна быть доступна по адресу “grafana.ht2021.local” </t>
  </si>
  <si>
    <t>Подключение к GCP</t>
  </si>
  <si>
    <t>Создайте Instance в Google Cloud</t>
  </si>
  <si>
    <t>Настройте VTI тоннель с помощью ipsec между csr и вашим instance</t>
  </si>
  <si>
    <t>A1</t>
  </si>
  <si>
    <t>C1</t>
  </si>
  <si>
    <t>D1</t>
  </si>
  <si>
    <t>D</t>
  </si>
  <si>
    <t>Mark Summary</t>
  </si>
  <si>
    <t>Skill</t>
  </si>
  <si>
    <t>Competitor</t>
  </si>
  <si>
    <t>A2</t>
  </si>
  <si>
    <t>A3</t>
  </si>
  <si>
    <t>A4</t>
  </si>
  <si>
    <t>A5</t>
  </si>
  <si>
    <t>A6</t>
  </si>
  <si>
    <t>B2</t>
  </si>
  <si>
    <t>B3</t>
  </si>
  <si>
    <t>B4</t>
  </si>
  <si>
    <t>B5</t>
  </si>
  <si>
    <t>B6</t>
  </si>
  <si>
    <t>C2</t>
  </si>
  <si>
    <t>C3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</si>
  <si>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</si>
  <si>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</si>
  <si>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</si>
  <si>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</si>
  <si>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</si>
  <si>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</si>
  <si>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</si>
  <si>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</si>
  <si>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</si>
  <si>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</si>
  <si>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D2</t>
  </si>
  <si>
    <t>D3</t>
  </si>
  <si>
    <t>D4</t>
  </si>
  <si>
    <t>D5</t>
  </si>
  <si>
    <t>D6</t>
  </si>
  <si>
    <t>D7</t>
  </si>
  <si>
    <t>Efremov E.</t>
  </si>
  <si>
    <t>Marchenko M.</t>
  </si>
  <si>
    <t>Netepenko A.</t>
  </si>
  <si>
    <t>Osipov A.</t>
  </si>
  <si>
    <t>Name</t>
  </si>
  <si>
    <t>Result</t>
  </si>
  <si>
    <t>Award</t>
  </si>
  <si>
    <t>All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</si>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</sst>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theme="1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b/>
      <sz val="10"/>
      <color indexed="81"/>
      <name val="Tahoma"/>
      <family val="2"/>
    </font>
    <font>
      <sz val="10"/>
      <name val="Arial"/>
    </font>
    <font>
      <b/>
      <sz val="11"/>
      <color theme="1"/>
      <name val="Calibri"/>
      <family val="2"/>
      <charset val="204"/>
    </font>
    <font>
      <sz val="10"/>
      <name val="Arial"/>
      <family val="2"/>
      <charset val="204"/>
    </font>
    <font>
      <b/>
      <sz val="20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2" fontId="4" fillId="0" borderId="0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2" fontId="7" fillId="0" borderId="0" xfId="0" applyNumberFormat="1" applyFont="1" applyAlignment="1">
      <alignment horizontal="center"/>
    </xf>
    <xf numFmtId="0" fontId="5" fillId="0" borderId="0" xfId="0" applyFont="1" applyFill="1" applyBorder="1" applyAlignment="1">
      <alignment horizontal="center" vertical="center" wrapText="1"/>
    </xf>
    <xf numFmtId="2" fontId="4" fillId="0" borderId="0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/>
    </xf>
    <xf numFmtId="0" fontId="8" fillId="0" borderId="2" xfId="0" applyFont="1" applyBorder="1" applyAlignment="1">
      <alignment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0" fontId="9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center"/>
    </xf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3" fillId="2" borderId="9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9" fillId="0" borderId="2" xfId="0" applyFont="1" applyBorder="1" applyAlignment="1">
      <alignment horizontal="right"/>
    </xf>
    <xf numFmtId="0" fontId="10" fillId="0" borderId="4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2" xfId="0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2" fontId="2" fillId="2" borderId="2" xfId="0" applyNumberFormat="1" applyFont="1" applyFill="1" applyBorder="1" applyAlignment="1">
      <alignment horizontal="center" vertical="center" wrapText="1"/>
    </xf>
    <xf numFmtId="2" fontId="0" fillId="0" borderId="2" xfId="0" applyNumberFormat="1" applyBorder="1"/>
  </cellXfs>
  <cellStyles count="1">
    <cellStyle name="Обычный" xfId="0" builtinId="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2"/>
  <sheetViews>
    <sheetView topLeftCell="A10" zoomScale="85" zoomScaleNormal="85" workbookViewId="0">
      <selection activeCell="F11" sqref="F11"/>
    </sheetView>
  </sheetViews>
  <sheetFormatPr defaultRowHeight="13.2" x14ac:dyDescent="0.25"/>
  <cols>
    <col min="1" max="1" width="7.6640625" customWidth="1"/>
    <col min="2" max="2" width="15.88671875" customWidth="1"/>
    <col min="3" max="3" width="8.5546875" customWidth="1"/>
    <col min="4" max="4" width="80.6640625" bestFit="1" customWidth="1"/>
    <col min="5" max="5" width="8" customWidth="1"/>
    <col min="6" max="6" width="46.6640625" customWidth="1"/>
    <col min="7" max="7" width="15.44140625" customWidth="1"/>
    <col min="8" max="8" width="10.109375" customWidth="1"/>
    <col min="9" max="9" width="8.33203125" customWidth="1"/>
    <col min="11" max="11" width="10.6640625" bestFit="1" customWidth="1"/>
  </cols>
  <sheetData>
    <row r="1" spans="1:11" ht="20.100000000000001" customHeight="1" x14ac:dyDescent="0.25">
      <c r="D1" s="1" t="s">
        <v>0</v>
      </c>
      <c r="E1" s="1"/>
    </row>
    <row r="2" spans="1:11" ht="20.100000000000001" customHeight="1" x14ac:dyDescent="0.25">
      <c r="D2" s="19" t="s">
        <v>13</v>
      </c>
    </row>
    <row r="3" spans="1:11" ht="20.100000000000001" customHeight="1" x14ac:dyDescent="0.25">
      <c r="D3" s="1" t="s">
        <v>1</v>
      </c>
      <c r="E3" s="1" t="s">
        <v>2</v>
      </c>
      <c r="F3" s="2"/>
      <c r="G3" s="1"/>
      <c r="H3" s="1"/>
    </row>
    <row r="4" spans="1:11" ht="20.100000000000001" customHeight="1" x14ac:dyDescent="0.25">
      <c r="C4" s="7" t="s">
        <v>14</v>
      </c>
      <c r="D4" s="18" t="s">
        <v>20</v>
      </c>
      <c r="E4" s="8">
        <f>SUM(I18:I23)</f>
        <v>3</v>
      </c>
    </row>
    <row r="5" spans="1:11" ht="20.100000000000001" customHeight="1" x14ac:dyDescent="0.25">
      <c r="C5" s="7" t="s">
        <v>15</v>
      </c>
      <c r="D5" s="18" t="s">
        <v>27</v>
      </c>
      <c r="E5" s="8">
        <f>SUM(I25:I30)</f>
        <v>5.5</v>
      </c>
    </row>
    <row r="6" spans="1:11" ht="20.100000000000001" customHeight="1" x14ac:dyDescent="0.25">
      <c r="C6" s="7" t="s">
        <v>16</v>
      </c>
      <c r="D6" s="18" t="s">
        <v>34</v>
      </c>
      <c r="E6" s="8">
        <f>SUM(I32:I44)</f>
        <v>14</v>
      </c>
    </row>
    <row r="7" spans="1:11" ht="20.100000000000001" customHeight="1" x14ac:dyDescent="0.25">
      <c r="C7" s="19" t="s">
        <v>59</v>
      </c>
      <c r="D7" s="18" t="s">
        <v>48</v>
      </c>
      <c r="E7" s="8">
        <f>SUM(I46:I52)</f>
        <v>7.5</v>
      </c>
    </row>
    <row r="8" spans="1:11" ht="20.100000000000001" customHeight="1" x14ac:dyDescent="0.25">
      <c r="E8" s="8"/>
    </row>
    <row r="9" spans="1:11" ht="20.100000000000001" customHeight="1" x14ac:dyDescent="0.25"/>
    <row r="10" spans="1:11" ht="20.100000000000001" customHeight="1" x14ac:dyDescent="0.25"/>
    <row r="11" spans="1:11" ht="20.100000000000001" customHeight="1" x14ac:dyDescent="0.25"/>
    <row r="12" spans="1:11" ht="20.100000000000001" customHeight="1" x14ac:dyDescent="0.25"/>
    <row r="13" spans="1:11" x14ac:dyDescent="0.25">
      <c r="G13" s="3"/>
      <c r="H13" s="3"/>
    </row>
    <row r="14" spans="1:11" ht="13.8" thickBot="1" x14ac:dyDescent="0.3">
      <c r="G14" s="3"/>
      <c r="H14" s="3"/>
    </row>
    <row r="15" spans="1:11" ht="21" thickBot="1" x14ac:dyDescent="0.3">
      <c r="A15" s="4"/>
      <c r="B15" s="4"/>
      <c r="C15" s="4"/>
      <c r="D15" s="4"/>
      <c r="E15" s="4"/>
      <c r="F15" s="4"/>
      <c r="G15" s="4"/>
      <c r="H15" s="4"/>
      <c r="I15" s="4"/>
      <c r="J15" s="5"/>
      <c r="K15" s="6"/>
    </row>
    <row r="16" spans="1:11" ht="66" x14ac:dyDescent="0.25">
      <c r="A16" s="11" t="s">
        <v>3</v>
      </c>
      <c r="B16" s="11" t="s">
        <v>4</v>
      </c>
      <c r="C16" s="11" t="s">
        <v>5</v>
      </c>
      <c r="D16" s="11" t="s">
        <v>6</v>
      </c>
      <c r="E16" s="11" t="s">
        <v>7</v>
      </c>
      <c r="F16" s="11" t="s">
        <v>12</v>
      </c>
      <c r="G16" s="11" t="s">
        <v>8</v>
      </c>
      <c r="H16" s="11" t="s">
        <v>9</v>
      </c>
      <c r="I16" s="11" t="s">
        <v>10</v>
      </c>
      <c r="J16" s="9" t="s">
        <v>11</v>
      </c>
      <c r="K16" s="10">
        <f>SUM(I17:I52)</f>
        <v>30</v>
      </c>
    </row>
    <row r="17" spans="1:9" ht="14.4" x14ac:dyDescent="0.25">
      <c r="A17" s="12" t="s">
        <v>14</v>
      </c>
      <c r="B17" s="13" t="s">
        <v>20</v>
      </c>
      <c r="C17" s="14" t="s">
        <v>17</v>
      </c>
      <c r="D17" s="14" t="s">
        <v>17</v>
      </c>
      <c r="E17" s="14" t="s">
        <v>17</v>
      </c>
      <c r="F17" s="14"/>
      <c r="G17" s="14" t="s">
        <v>17</v>
      </c>
      <c r="H17" s="14" t="s">
        <v>17</v>
      </c>
      <c r="I17" s="14" t="s">
        <v>17</v>
      </c>
    </row>
    <row r="18" spans="1:9" x14ac:dyDescent="0.25">
      <c r="A18" s="15" t="s">
        <v>17</v>
      </c>
      <c r="B18" s="14" t="s">
        <v>17</v>
      </c>
      <c r="C18" s="15" t="s">
        <v>18</v>
      </c>
      <c r="D18" s="14" t="s">
        <v>21</v>
      </c>
      <c r="E18" s="15" t="s">
        <v>17</v>
      </c>
      <c r="F18" s="14"/>
      <c r="G18" s="14" t="s">
        <v>17</v>
      </c>
      <c r="H18" s="15">
        <v>4</v>
      </c>
      <c r="I18" s="16">
        <v>0.5</v>
      </c>
    </row>
    <row r="19" spans="1:9" x14ac:dyDescent="0.25">
      <c r="A19" s="15" t="s">
        <v>17</v>
      </c>
      <c r="B19" s="14" t="s">
        <v>17</v>
      </c>
      <c r="C19" s="15" t="s">
        <v>18</v>
      </c>
      <c r="D19" s="14" t="s">
        <v>22</v>
      </c>
      <c r="E19" s="15" t="s">
        <v>17</v>
      </c>
      <c r="F19" s="14"/>
      <c r="G19" s="14" t="s">
        <v>17</v>
      </c>
      <c r="H19" s="15">
        <v>4</v>
      </c>
      <c r="I19" s="16">
        <v>0.5</v>
      </c>
    </row>
    <row r="20" spans="1:9" x14ac:dyDescent="0.25">
      <c r="A20" s="15" t="s">
        <v>17</v>
      </c>
      <c r="B20" s="14" t="s">
        <v>17</v>
      </c>
      <c r="C20" s="15" t="s">
        <v>18</v>
      </c>
      <c r="D20" s="17" t="s">
        <v>23</v>
      </c>
      <c r="E20" s="15" t="s">
        <v>17</v>
      </c>
      <c r="F20" s="14"/>
      <c r="G20" s="14" t="s">
        <v>17</v>
      </c>
      <c r="H20" s="15">
        <v>4</v>
      </c>
      <c r="I20" s="16">
        <v>0.5</v>
      </c>
    </row>
    <row r="21" spans="1:9" x14ac:dyDescent="0.25">
      <c r="A21" s="15" t="s">
        <v>17</v>
      </c>
      <c r="B21" s="14" t="s">
        <v>17</v>
      </c>
      <c r="C21" s="15" t="s">
        <v>18</v>
      </c>
      <c r="D21" s="14" t="s">
        <v>24</v>
      </c>
      <c r="E21" s="15" t="s">
        <v>17</v>
      </c>
      <c r="F21" s="14"/>
      <c r="G21" s="14" t="s">
        <v>17</v>
      </c>
      <c r="H21" s="15">
        <v>4</v>
      </c>
      <c r="I21" s="16">
        <v>0.5</v>
      </c>
    </row>
    <row r="22" spans="1:9" x14ac:dyDescent="0.25">
      <c r="A22" s="15" t="s">
        <v>17</v>
      </c>
      <c r="B22" s="14" t="s">
        <v>17</v>
      </c>
      <c r="C22" s="15" t="s">
        <v>18</v>
      </c>
      <c r="D22" s="14" t="s">
        <v>25</v>
      </c>
      <c r="E22" s="15" t="s">
        <v>17</v>
      </c>
      <c r="F22" s="14"/>
      <c r="G22" s="14" t="s">
        <v>17</v>
      </c>
      <c r="H22" s="15">
        <v>4</v>
      </c>
      <c r="I22" s="16">
        <v>0.5</v>
      </c>
    </row>
    <row r="23" spans="1:9" x14ac:dyDescent="0.25">
      <c r="A23" s="15" t="s">
        <v>17</v>
      </c>
      <c r="B23" s="14" t="s">
        <v>17</v>
      </c>
      <c r="C23" s="15" t="s">
        <v>18</v>
      </c>
      <c r="D23" s="14" t="s">
        <v>26</v>
      </c>
      <c r="E23" s="15" t="s">
        <v>17</v>
      </c>
      <c r="F23" s="14"/>
      <c r="G23" s="14" t="s">
        <v>17</v>
      </c>
      <c r="H23" s="15">
        <v>4</v>
      </c>
      <c r="I23" s="16">
        <v>0.5</v>
      </c>
    </row>
    <row r="24" spans="1:9" ht="14.4" x14ac:dyDescent="0.25">
      <c r="A24" s="12" t="s">
        <v>15</v>
      </c>
      <c r="B24" s="13" t="s">
        <v>27</v>
      </c>
      <c r="C24" s="15"/>
      <c r="D24" s="14"/>
      <c r="E24" s="15"/>
      <c r="F24" s="17"/>
      <c r="G24" s="14"/>
      <c r="H24" s="15"/>
      <c r="I24" s="16"/>
    </row>
    <row r="25" spans="1:9" x14ac:dyDescent="0.25">
      <c r="A25" s="15" t="s">
        <v>17</v>
      </c>
      <c r="B25" s="14" t="s">
        <v>17</v>
      </c>
      <c r="C25" s="15" t="s">
        <v>18</v>
      </c>
      <c r="D25" s="14" t="s">
        <v>28</v>
      </c>
      <c r="E25" s="15" t="s">
        <v>17</v>
      </c>
      <c r="F25" s="14"/>
      <c r="G25" s="14" t="s">
        <v>17</v>
      </c>
      <c r="H25" s="15">
        <v>5</v>
      </c>
      <c r="I25" s="16">
        <v>0.5</v>
      </c>
    </row>
    <row r="26" spans="1:9" x14ac:dyDescent="0.25">
      <c r="A26" s="15" t="s">
        <v>17</v>
      </c>
      <c r="B26" s="14" t="s">
        <v>17</v>
      </c>
      <c r="C26" s="15" t="s">
        <v>18</v>
      </c>
      <c r="D26" s="14" t="s">
        <v>29</v>
      </c>
      <c r="E26" s="15" t="s">
        <v>17</v>
      </c>
      <c r="F26" s="14"/>
      <c r="G26" s="14" t="s">
        <v>17</v>
      </c>
      <c r="H26" s="15">
        <v>5</v>
      </c>
      <c r="I26" s="16">
        <v>1</v>
      </c>
    </row>
    <row r="27" spans="1:9" x14ac:dyDescent="0.25">
      <c r="A27" s="15" t="s">
        <v>17</v>
      </c>
      <c r="B27" s="14" t="s">
        <v>17</v>
      </c>
      <c r="C27" s="15" t="s">
        <v>18</v>
      </c>
      <c r="D27" s="14" t="s">
        <v>30</v>
      </c>
      <c r="E27" s="15" t="s">
        <v>17</v>
      </c>
      <c r="F27" s="14"/>
      <c r="G27" s="14" t="s">
        <v>17</v>
      </c>
      <c r="H27" s="15">
        <v>4</v>
      </c>
      <c r="I27" s="16">
        <v>1</v>
      </c>
    </row>
    <row r="28" spans="1:9" x14ac:dyDescent="0.25">
      <c r="A28" s="15" t="s">
        <v>17</v>
      </c>
      <c r="B28" s="14" t="s">
        <v>17</v>
      </c>
      <c r="C28" s="15" t="s">
        <v>18</v>
      </c>
      <c r="D28" s="14" t="s">
        <v>31</v>
      </c>
      <c r="E28" s="15" t="s">
        <v>17</v>
      </c>
      <c r="F28" s="14"/>
      <c r="G28" s="14" t="s">
        <v>17</v>
      </c>
      <c r="H28" s="15">
        <v>4</v>
      </c>
      <c r="I28" s="16">
        <v>1</v>
      </c>
    </row>
    <row r="29" spans="1:9" x14ac:dyDescent="0.25">
      <c r="A29" s="15" t="s">
        <v>17</v>
      </c>
      <c r="B29" s="14" t="s">
        <v>17</v>
      </c>
      <c r="C29" s="15" t="s">
        <v>18</v>
      </c>
      <c r="D29" s="14" t="s">
        <v>32</v>
      </c>
      <c r="E29" s="15" t="s">
        <v>17</v>
      </c>
      <c r="F29" s="14"/>
      <c r="G29" s="14" t="s">
        <v>17</v>
      </c>
      <c r="H29" s="15">
        <v>4</v>
      </c>
      <c r="I29" s="16">
        <v>1</v>
      </c>
    </row>
    <row r="30" spans="1:9" x14ac:dyDescent="0.25">
      <c r="A30" s="15" t="s">
        <v>17</v>
      </c>
      <c r="B30" s="14" t="s">
        <v>17</v>
      </c>
      <c r="C30" s="15" t="s">
        <v>18</v>
      </c>
      <c r="D30" s="14" t="s">
        <v>33</v>
      </c>
      <c r="E30" s="15" t="s">
        <v>17</v>
      </c>
      <c r="F30" s="14"/>
      <c r="G30" s="14" t="s">
        <v>17</v>
      </c>
      <c r="H30" s="15">
        <v>4</v>
      </c>
      <c r="I30" s="16">
        <v>1</v>
      </c>
    </row>
    <row r="31" spans="1:9" ht="14.4" x14ac:dyDescent="0.25">
      <c r="A31" s="12" t="s">
        <v>16</v>
      </c>
      <c r="B31" s="13" t="s">
        <v>34</v>
      </c>
      <c r="C31" s="15"/>
      <c r="D31" s="14"/>
      <c r="E31" s="15"/>
      <c r="F31" s="14"/>
      <c r="G31" s="14"/>
      <c r="H31" s="15"/>
      <c r="I31" s="16"/>
    </row>
    <row r="32" spans="1:9" x14ac:dyDescent="0.25">
      <c r="A32" s="15" t="s">
        <v>17</v>
      </c>
      <c r="B32" s="14" t="s">
        <v>17</v>
      </c>
      <c r="C32" s="15" t="s">
        <v>18</v>
      </c>
      <c r="D32" s="14" t="s">
        <v>35</v>
      </c>
      <c r="E32" s="15" t="s">
        <v>17</v>
      </c>
      <c r="F32" s="14"/>
      <c r="G32" s="14" t="s">
        <v>17</v>
      </c>
      <c r="H32" s="15">
        <v>4</v>
      </c>
      <c r="I32" s="16">
        <v>1.5</v>
      </c>
    </row>
    <row r="33" spans="1:9" x14ac:dyDescent="0.25">
      <c r="A33" s="15" t="s">
        <v>17</v>
      </c>
      <c r="B33" s="14" t="s">
        <v>17</v>
      </c>
      <c r="C33" s="15" t="s">
        <v>18</v>
      </c>
      <c r="D33" s="14" t="s">
        <v>36</v>
      </c>
      <c r="E33" s="15" t="s">
        <v>17</v>
      </c>
      <c r="F33" s="14"/>
      <c r="G33" s="14" t="s">
        <v>17</v>
      </c>
      <c r="H33" s="15">
        <v>4</v>
      </c>
      <c r="I33" s="16">
        <v>1.5</v>
      </c>
    </row>
    <row r="34" spans="1:9" x14ac:dyDescent="0.25">
      <c r="A34" s="15" t="s">
        <v>17</v>
      </c>
      <c r="B34" s="14" t="s">
        <v>17</v>
      </c>
      <c r="C34" s="15" t="s">
        <v>18</v>
      </c>
      <c r="D34" s="14" t="s">
        <v>37</v>
      </c>
      <c r="E34" s="15" t="s">
        <v>17</v>
      </c>
      <c r="F34" s="14"/>
      <c r="G34" s="14" t="s">
        <v>17</v>
      </c>
      <c r="H34" s="15">
        <v>4</v>
      </c>
      <c r="I34" s="16">
        <v>1</v>
      </c>
    </row>
    <row r="35" spans="1:9" x14ac:dyDescent="0.25">
      <c r="A35" s="15" t="s">
        <v>17</v>
      </c>
      <c r="B35" s="14" t="s">
        <v>17</v>
      </c>
      <c r="C35" s="15" t="s">
        <v>18</v>
      </c>
      <c r="D35" s="14" t="s">
        <v>38</v>
      </c>
      <c r="E35" s="15" t="s">
        <v>17</v>
      </c>
      <c r="F35" s="14"/>
      <c r="G35" s="14" t="s">
        <v>17</v>
      </c>
      <c r="H35" s="15">
        <v>5</v>
      </c>
      <c r="I35" s="16">
        <v>1</v>
      </c>
    </row>
    <row r="36" spans="1:9" x14ac:dyDescent="0.25">
      <c r="A36" s="15" t="s">
        <v>17</v>
      </c>
      <c r="B36" s="14" t="s">
        <v>17</v>
      </c>
      <c r="C36" s="15" t="s">
        <v>18</v>
      </c>
      <c r="D36" s="14" t="s">
        <v>39</v>
      </c>
      <c r="E36" s="15" t="s">
        <v>17</v>
      </c>
      <c r="F36" s="14"/>
      <c r="G36" s="14" t="s">
        <v>17</v>
      </c>
      <c r="H36" s="15">
        <v>3</v>
      </c>
      <c r="I36" s="16">
        <v>1</v>
      </c>
    </row>
    <row r="37" spans="1:9" x14ac:dyDescent="0.25">
      <c r="A37" s="15" t="s">
        <v>17</v>
      </c>
      <c r="B37" s="14" t="s">
        <v>17</v>
      </c>
      <c r="C37" s="15" t="s">
        <v>18</v>
      </c>
      <c r="D37" s="14" t="s">
        <v>40</v>
      </c>
      <c r="E37" s="15" t="s">
        <v>17</v>
      </c>
      <c r="F37" s="14"/>
      <c r="G37" s="14" t="s">
        <v>17</v>
      </c>
      <c r="H37" s="15">
        <v>3</v>
      </c>
      <c r="I37" s="16">
        <v>1</v>
      </c>
    </row>
    <row r="38" spans="1:9" x14ac:dyDescent="0.25">
      <c r="A38" s="15" t="s">
        <v>17</v>
      </c>
      <c r="B38" s="14" t="s">
        <v>17</v>
      </c>
      <c r="C38" s="15" t="s">
        <v>18</v>
      </c>
      <c r="D38" s="17" t="s">
        <v>41</v>
      </c>
      <c r="E38" s="15" t="s">
        <v>17</v>
      </c>
      <c r="F38" s="14"/>
      <c r="G38" s="14" t="s">
        <v>17</v>
      </c>
      <c r="H38" s="15">
        <v>3</v>
      </c>
      <c r="I38" s="16">
        <v>1</v>
      </c>
    </row>
    <row r="39" spans="1:9" x14ac:dyDescent="0.25">
      <c r="A39" s="15" t="s">
        <v>17</v>
      </c>
      <c r="B39" s="14" t="s">
        <v>17</v>
      </c>
      <c r="C39" s="15" t="s">
        <v>18</v>
      </c>
      <c r="D39" s="17" t="s">
        <v>42</v>
      </c>
      <c r="E39" s="15" t="s">
        <v>17</v>
      </c>
      <c r="F39" s="14"/>
      <c r="G39" s="14" t="s">
        <v>17</v>
      </c>
      <c r="H39" s="15">
        <v>3</v>
      </c>
      <c r="I39" s="16">
        <v>1</v>
      </c>
    </row>
    <row r="40" spans="1:9" x14ac:dyDescent="0.25">
      <c r="A40" s="15" t="s">
        <v>17</v>
      </c>
      <c r="B40" s="14" t="s">
        <v>17</v>
      </c>
      <c r="C40" s="15" t="s">
        <v>18</v>
      </c>
      <c r="D40" s="17" t="s">
        <v>43</v>
      </c>
      <c r="E40" s="15" t="s">
        <v>17</v>
      </c>
      <c r="F40" s="14"/>
      <c r="G40" s="14" t="s">
        <v>17</v>
      </c>
      <c r="H40" s="15">
        <v>2</v>
      </c>
      <c r="I40" s="16">
        <v>1</v>
      </c>
    </row>
    <row r="41" spans="1:9" x14ac:dyDescent="0.25">
      <c r="A41" s="15" t="s">
        <v>17</v>
      </c>
      <c r="B41" s="14" t="s">
        <v>17</v>
      </c>
      <c r="C41" s="15" t="s">
        <v>18</v>
      </c>
      <c r="D41" s="17" t="s">
        <v>44</v>
      </c>
      <c r="E41" s="15" t="s">
        <v>17</v>
      </c>
      <c r="F41" s="14"/>
      <c r="G41" s="14" t="s">
        <v>17</v>
      </c>
      <c r="H41" s="15">
        <v>5</v>
      </c>
      <c r="I41" s="16">
        <v>1</v>
      </c>
    </row>
    <row r="42" spans="1:9" x14ac:dyDescent="0.25">
      <c r="A42" s="15" t="s">
        <v>17</v>
      </c>
      <c r="B42" s="14" t="s">
        <v>17</v>
      </c>
      <c r="C42" s="15" t="s">
        <v>18</v>
      </c>
      <c r="D42" s="17" t="s">
        <v>45</v>
      </c>
      <c r="E42" s="15" t="s">
        <v>17</v>
      </c>
      <c r="F42" s="14"/>
      <c r="G42" s="14" t="s">
        <v>17</v>
      </c>
      <c r="H42" s="15">
        <v>5</v>
      </c>
      <c r="I42" s="16">
        <v>1</v>
      </c>
    </row>
    <row r="43" spans="1:9" x14ac:dyDescent="0.25">
      <c r="A43" s="15" t="s">
        <v>17</v>
      </c>
      <c r="B43" s="14" t="s">
        <v>17</v>
      </c>
      <c r="C43" s="15" t="s">
        <v>18</v>
      </c>
      <c r="D43" s="17" t="s">
        <v>46</v>
      </c>
      <c r="E43" s="15" t="s">
        <v>17</v>
      </c>
      <c r="F43" s="14"/>
      <c r="G43" s="14" t="s">
        <v>17</v>
      </c>
      <c r="H43" s="15">
        <v>4</v>
      </c>
      <c r="I43" s="16">
        <v>1</v>
      </c>
    </row>
    <row r="44" spans="1:9" x14ac:dyDescent="0.25">
      <c r="A44" s="15" t="s">
        <v>17</v>
      </c>
      <c r="B44" s="14" t="s">
        <v>17</v>
      </c>
      <c r="C44" s="15" t="s">
        <v>18</v>
      </c>
      <c r="D44" s="17" t="s">
        <v>47</v>
      </c>
      <c r="E44" s="15" t="s">
        <v>17</v>
      </c>
      <c r="F44" s="14"/>
      <c r="G44" s="14" t="s">
        <v>17</v>
      </c>
      <c r="H44" s="15">
        <v>4</v>
      </c>
      <c r="I44" s="16">
        <v>1</v>
      </c>
    </row>
    <row r="45" spans="1:9" ht="14.4" x14ac:dyDescent="0.25">
      <c r="A45" s="12" t="s">
        <v>59</v>
      </c>
      <c r="B45" s="13" t="s">
        <v>48</v>
      </c>
      <c r="C45" s="15" t="s">
        <v>18</v>
      </c>
      <c r="D45" s="14"/>
      <c r="E45" s="15"/>
      <c r="F45" s="14"/>
      <c r="G45" s="14"/>
      <c r="H45" s="15"/>
      <c r="I45" s="16"/>
    </row>
    <row r="46" spans="1:9" x14ac:dyDescent="0.25">
      <c r="A46" s="15" t="s">
        <v>17</v>
      </c>
      <c r="B46" s="14" t="s">
        <v>17</v>
      </c>
      <c r="C46" s="15" t="s">
        <v>18</v>
      </c>
      <c r="D46" s="14" t="s">
        <v>49</v>
      </c>
      <c r="E46" s="15" t="s">
        <v>17</v>
      </c>
      <c r="F46" s="14"/>
      <c r="G46" s="14" t="s">
        <v>17</v>
      </c>
      <c r="H46" s="15">
        <v>4</v>
      </c>
      <c r="I46" s="16">
        <v>1.5</v>
      </c>
    </row>
    <row r="47" spans="1:9" x14ac:dyDescent="0.25">
      <c r="A47" s="15" t="s">
        <v>17</v>
      </c>
      <c r="B47" s="14" t="s">
        <v>17</v>
      </c>
      <c r="C47" s="15" t="s">
        <v>18</v>
      </c>
      <c r="D47" s="14" t="s">
        <v>50</v>
      </c>
      <c r="E47" s="15" t="s">
        <v>17</v>
      </c>
      <c r="F47" s="14"/>
      <c r="G47" s="14" t="s">
        <v>17</v>
      </c>
      <c r="H47" s="15">
        <v>1</v>
      </c>
      <c r="I47" s="16">
        <v>1</v>
      </c>
    </row>
    <row r="48" spans="1:9" x14ac:dyDescent="0.25">
      <c r="A48" s="15" t="s">
        <v>17</v>
      </c>
      <c r="B48" s="14" t="s">
        <v>17</v>
      </c>
      <c r="C48" s="15" t="s">
        <v>18</v>
      </c>
      <c r="D48" s="14" t="s">
        <v>51</v>
      </c>
      <c r="E48" s="15" t="s">
        <v>17</v>
      </c>
      <c r="F48" s="14"/>
      <c r="G48" s="14" t="s">
        <v>17</v>
      </c>
      <c r="H48" s="15">
        <v>4</v>
      </c>
      <c r="I48" s="16">
        <v>1</v>
      </c>
    </row>
    <row r="49" spans="1:9" x14ac:dyDescent="0.25">
      <c r="A49" s="15" t="s">
        <v>17</v>
      </c>
      <c r="B49" s="14" t="s">
        <v>17</v>
      </c>
      <c r="C49" s="15" t="s">
        <v>18</v>
      </c>
      <c r="D49" s="14" t="s">
        <v>52</v>
      </c>
      <c r="E49" s="15" t="s">
        <v>17</v>
      </c>
      <c r="F49" s="14"/>
      <c r="G49" s="14" t="s">
        <v>17</v>
      </c>
      <c r="H49" s="15">
        <v>1</v>
      </c>
      <c r="I49" s="16">
        <v>1</v>
      </c>
    </row>
    <row r="50" spans="1:9" x14ac:dyDescent="0.25">
      <c r="A50" s="15" t="s">
        <v>17</v>
      </c>
      <c r="B50" s="14" t="s">
        <v>17</v>
      </c>
      <c r="C50" s="15" t="s">
        <v>18</v>
      </c>
      <c r="D50" s="14" t="s">
        <v>53</v>
      </c>
      <c r="E50" s="15" t="s">
        <v>17</v>
      </c>
      <c r="F50" s="14"/>
      <c r="G50" s="14" t="s">
        <v>17</v>
      </c>
      <c r="H50" s="15">
        <v>5</v>
      </c>
      <c r="I50" s="16">
        <v>1</v>
      </c>
    </row>
    <row r="51" spans="1:9" x14ac:dyDescent="0.25">
      <c r="A51" s="15" t="s">
        <v>17</v>
      </c>
      <c r="B51" s="14" t="s">
        <v>17</v>
      </c>
      <c r="C51" s="15" t="s">
        <v>18</v>
      </c>
      <c r="D51" s="14" t="s">
        <v>54</v>
      </c>
      <c r="E51" s="15" t="s">
        <v>17</v>
      </c>
      <c r="F51" s="14"/>
      <c r="G51" s="14" t="s">
        <v>17</v>
      </c>
      <c r="H51" s="15">
        <v>5</v>
      </c>
      <c r="I51" s="16">
        <v>1</v>
      </c>
    </row>
    <row r="52" spans="1:9" x14ac:dyDescent="0.25">
      <c r="A52" s="15" t="s">
        <v>17</v>
      </c>
      <c r="B52" s="14" t="s">
        <v>17</v>
      </c>
      <c r="C52" s="15" t="s">
        <v>18</v>
      </c>
      <c r="D52" s="14" t="s">
        <v>55</v>
      </c>
      <c r="E52" s="15" t="s">
        <v>17</v>
      </c>
      <c r="F52" s="14"/>
      <c r="G52" s="14" t="s">
        <v>17</v>
      </c>
      <c r="H52" s="15">
        <v>2</v>
      </c>
      <c r="I52" s="16">
        <v>1</v>
      </c>
    </row>
  </sheetData>
  <phoneticPr fontId="1" type="noConversion"/>
  <pageMargins left="0.39000000000000007" right="0.39000000000000007" top="0.87" bottom="0.59" header="0.2" footer="0.2"/>
  <pageSetup paperSize="9" orientation="landscape" r:id="rId1"/>
  <headerFooter>
    <oddHeader>&amp;R&amp;G</oddHeader>
    <oddFooter>&amp;L&amp;8Sheet: &amp;A
File: &amp;F&amp;C&amp;8Version: 
Date: &amp;R&amp;8&amp;P of &amp;N</oddFooter>
  </headerFooter>
  <legacyDrawing r:id="rId2"/>
  <legacyDrawingHF r:id="rId3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topLeftCell="A10" workbookViewId="0">
      <selection activeCell="E11" sqref="E11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4" ht="24.6" x14ac:dyDescent="0.4">
      <c r="A1" s="28" t="s">
        <v>60</v>
      </c>
      <c r="B1" s="29"/>
      <c r="C1" s="30"/>
    </row>
    <row r="2" spans="1:4" x14ac:dyDescent="0.25">
      <c r="A2" s="20" t="s">
        <v>61</v>
      </c>
      <c r="B2" s="21" t="str">
        <f>'CIS Marking Scheme Import'!D2</f>
        <v>Сетевое и системное администрирование - IT Network Systems Administration</v>
      </c>
      <c r="C2" s="22"/>
    </row>
    <row r="3" spans="1:4" x14ac:dyDescent="0.25">
      <c r="A3" s="20" t="s">
        <v>62</v>
      </c>
      <c r="B3" s="21" t="s">
        <v>91</v>
      </c>
      <c r="C3" s="22"/>
    </row>
    <row r="4" spans="1:4" x14ac:dyDescent="0.25">
      <c r="A4" s="20"/>
      <c r="B4" s="21"/>
      <c r="C4" s="22"/>
    </row>
    <row r="5" spans="1:4" ht="39.6" x14ac:dyDescent="0.25">
      <c r="A5" s="31" t="s">
        <v>3</v>
      </c>
      <c r="B5" s="31" t="s">
        <v>6</v>
      </c>
      <c r="C5" s="31" t="s">
        <v>10</v>
      </c>
      <c r="D5" s="31" t="s">
        <v>96</v>
      </c>
    </row>
    <row r="6" spans="1:4" ht="23.4" customHeight="1" x14ac:dyDescent="0.25">
      <c r="A6" s="33" t="s">
        <v>14</v>
      </c>
      <c r="B6" s="34" t="str">
        <f>'CIS Marking Scheme Import'!D4</f>
        <v xml:space="preserve">Windows </v>
      </c>
      <c r="C6" s="33" t="s">
        <v>17</v>
      </c>
      <c r="D6" s="33"/>
    </row>
    <row r="7" spans="1:4" x14ac:dyDescent="0.25">
      <c r="A7" s="27" t="s">
        <v>56</v>
      </c>
      <c r="B7" s="14" t="s">
        <v>21</v>
      </c>
      <c r="C7" s="16">
        <v>0.5</v>
      </c>
      <c r="D7" s="32"/>
    </row>
    <row r="8" spans="1:4" x14ac:dyDescent="0.25">
      <c r="A8" s="27" t="s">
        <v>63</v>
      </c>
      <c r="B8" s="14" t="s">
        <v>22</v>
      </c>
      <c r="C8" s="16">
        <v>0.5</v>
      </c>
      <c r="D8" s="32"/>
    </row>
    <row r="9" spans="1:4" x14ac:dyDescent="0.25">
      <c r="A9" s="27" t="s">
        <v>64</v>
      </c>
      <c r="B9" s="17" t="s">
        <v>23</v>
      </c>
      <c r="C9" s="16">
        <v>0.5</v>
      </c>
      <c r="D9" s="32"/>
    </row>
    <row r="10" spans="1:4" x14ac:dyDescent="0.25">
      <c r="A10" s="27" t="s">
        <v>65</v>
      </c>
      <c r="B10" s="14" t="s">
        <v>24</v>
      </c>
      <c r="C10" s="16">
        <v>0.5</v>
      </c>
      <c r="D10" s="32"/>
    </row>
    <row r="11" spans="1:4" x14ac:dyDescent="0.25">
      <c r="A11" s="27" t="s">
        <v>66</v>
      </c>
      <c r="B11" s="14" t="s">
        <v>25</v>
      </c>
      <c r="C11" s="16">
        <v>0.5</v>
      </c>
      <c r="D11" s="32"/>
    </row>
    <row r="12" spans="1:4" x14ac:dyDescent="0.25">
      <c r="A12" s="27" t="s">
        <v>67</v>
      </c>
      <c r="B12" s="14" t="s">
        <v>26</v>
      </c>
      <c r="C12" s="16">
        <v>0.5</v>
      </c>
      <c r="D12" s="32"/>
    </row>
    <row r="13" spans="1:4" ht="27.6" customHeight="1" x14ac:dyDescent="0.25">
      <c r="A13" s="33" t="s">
        <v>15</v>
      </c>
      <c r="B13" s="34" t="str">
        <f>'CIS Marking Scheme Import'!D5</f>
        <v>VMware</v>
      </c>
      <c r="C13" s="34"/>
      <c r="D13" s="33"/>
    </row>
    <row r="14" spans="1:4" x14ac:dyDescent="0.25">
      <c r="A14" s="27" t="s">
        <v>19</v>
      </c>
      <c r="B14" s="14" t="s">
        <v>28</v>
      </c>
      <c r="C14" s="16">
        <v>0.5</v>
      </c>
      <c r="D14" s="32"/>
    </row>
    <row r="15" spans="1:4" x14ac:dyDescent="0.25">
      <c r="A15" s="27" t="s">
        <v>68</v>
      </c>
      <c r="B15" s="14" t="s">
        <v>29</v>
      </c>
      <c r="C15" s="16">
        <v>1</v>
      </c>
      <c r="D15" s="32"/>
    </row>
    <row r="16" spans="1:4" x14ac:dyDescent="0.25">
      <c r="A16" s="27" t="s">
        <v>69</v>
      </c>
      <c r="B16" s="14" t="s">
        <v>30</v>
      </c>
      <c r="C16" s="16">
        <v>1</v>
      </c>
      <c r="D16" s="32"/>
    </row>
    <row r="17" spans="1:4" x14ac:dyDescent="0.25">
      <c r="A17" s="27" t="s">
        <v>70</v>
      </c>
      <c r="B17" s="14" t="s">
        <v>31</v>
      </c>
      <c r="C17" s="16">
        <v>1</v>
      </c>
      <c r="D17" s="32"/>
    </row>
    <row r="18" spans="1:4" x14ac:dyDescent="0.25">
      <c r="A18" s="27" t="s">
        <v>71</v>
      </c>
      <c r="B18" s="14" t="s">
        <v>32</v>
      </c>
      <c r="C18" s="16">
        <v>1</v>
      </c>
      <c r="D18" s="32"/>
    </row>
    <row r="19" spans="1:4" x14ac:dyDescent="0.25">
      <c r="A19" s="27" t="s">
        <v>72</v>
      </c>
      <c r="B19" s="14" t="s">
        <v>33</v>
      </c>
      <c r="C19" s="16">
        <v>1</v>
      </c>
      <c r="D19" s="32"/>
    </row>
    <row r="20" spans="1:4" ht="27.6" customHeight="1" x14ac:dyDescent="0.25">
      <c r="A20" s="33" t="s">
        <v>16</v>
      </c>
      <c r="B20" s="34" t="str">
        <f>'CIS Marking Scheme Import'!D6</f>
        <v>LINUX</v>
      </c>
      <c r="C20" s="34"/>
      <c r="D20" s="33"/>
    </row>
    <row r="21" spans="1:4" x14ac:dyDescent="0.25">
      <c r="A21" s="27" t="s">
        <v>57</v>
      </c>
      <c r="B21" s="14" t="s">
        <v>35</v>
      </c>
      <c r="C21" s="16">
        <v>1.5</v>
      </c>
      <c r="D21" s="16"/>
    </row>
    <row r="22" spans="1:4" x14ac:dyDescent="0.25">
      <c r="A22" s="27" t="s">
        <v>73</v>
      </c>
      <c r="B22" s="14" t="s">
        <v>36</v>
      </c>
      <c r="C22" s="16">
        <v>1.5</v>
      </c>
      <c r="D22" s="16"/>
    </row>
    <row r="23" spans="1:4" x14ac:dyDescent="0.25">
      <c r="A23" s="27" t="s">
        <v>74</v>
      </c>
      <c r="B23" s="14" t="s">
        <v>37</v>
      </c>
      <c r="C23" s="16">
        <v>1</v>
      </c>
      <c r="D23" s="32"/>
    </row>
    <row r="24" spans="1:4" x14ac:dyDescent="0.25">
      <c r="A24" s="27" t="s">
        <v>75</v>
      </c>
      <c r="B24" s="14" t="s">
        <v>38</v>
      </c>
      <c r="C24" s="16">
        <v>1</v>
      </c>
      <c r="D24" s="32"/>
    </row>
    <row r="25" spans="1:4" x14ac:dyDescent="0.25">
      <c r="A25" s="27" t="s">
        <v>76</v>
      </c>
      <c r="B25" s="14" t="s">
        <v>39</v>
      </c>
      <c r="C25" s="16">
        <v>1</v>
      </c>
      <c r="D25" s="32"/>
    </row>
    <row r="26" spans="1:4" x14ac:dyDescent="0.25">
      <c r="A26" s="27" t="s">
        <v>77</v>
      </c>
      <c r="B26" s="14" t="s">
        <v>40</v>
      </c>
      <c r="C26" s="16">
        <v>1</v>
      </c>
      <c r="D26" s="32"/>
    </row>
    <row r="27" spans="1:4" x14ac:dyDescent="0.25">
      <c r="A27" s="27" t="s">
        <v>78</v>
      </c>
      <c r="B27" s="17" t="s">
        <v>41</v>
      </c>
      <c r="C27" s="16">
        <v>1</v>
      </c>
      <c r="D27" s="32"/>
    </row>
    <row r="28" spans="1:4" x14ac:dyDescent="0.25">
      <c r="A28" s="27" t="s">
        <v>79</v>
      </c>
      <c r="B28" s="17" t="s">
        <v>42</v>
      </c>
      <c r="C28" s="16">
        <v>1</v>
      </c>
      <c r="D28" s="32"/>
    </row>
    <row r="29" spans="1:4" x14ac:dyDescent="0.25">
      <c r="A29" s="27" t="s">
        <v>80</v>
      </c>
      <c r="B29" s="17" t="s">
        <v>43</v>
      </c>
      <c r="C29" s="16">
        <v>1</v>
      </c>
      <c r="D29" s="32"/>
    </row>
    <row r="30" spans="1:4" x14ac:dyDescent="0.25">
      <c r="A30" s="27" t="s">
        <v>81</v>
      </c>
      <c r="B30" s="17" t="s">
        <v>44</v>
      </c>
      <c r="C30" s="16">
        <v>1</v>
      </c>
      <c r="D30" s="32"/>
    </row>
    <row r="31" spans="1:4" x14ac:dyDescent="0.25">
      <c r="A31" s="27" t="s">
        <v>82</v>
      </c>
      <c r="B31" s="17" t="s">
        <v>45</v>
      </c>
      <c r="C31" s="16">
        <v>1</v>
      </c>
      <c r="D31" s="32"/>
    </row>
    <row r="32" spans="1:4" x14ac:dyDescent="0.25">
      <c r="A32" s="27" t="s">
        <v>83</v>
      </c>
      <c r="B32" s="17" t="s">
        <v>46</v>
      </c>
      <c r="C32" s="16">
        <v>1</v>
      </c>
      <c r="D32" s="32"/>
    </row>
    <row r="33" spans="1:4" x14ac:dyDescent="0.25">
      <c r="A33" s="27" t="s">
        <v>84</v>
      </c>
      <c r="B33" s="17" t="s">
        <v>47</v>
      </c>
      <c r="C33" s="16">
        <v>1</v>
      </c>
      <c r="D33" s="32"/>
    </row>
    <row r="34" spans="1:4" x14ac:dyDescent="0.25">
      <c r="A34" s="33" t="s">
        <v>59</v>
      </c>
      <c r="B34" s="34" t="str">
        <f>'CIS Marking Scheme Import'!D7</f>
        <v>Monitoring</v>
      </c>
      <c r="C34" s="34"/>
      <c r="D34" s="33"/>
    </row>
    <row r="35" spans="1:4" ht="26.4" customHeight="1" x14ac:dyDescent="0.25">
      <c r="A35" s="27" t="s">
        <v>58</v>
      </c>
      <c r="B35" s="14" t="s">
        <v>49</v>
      </c>
      <c r="C35" s="16">
        <v>1.5</v>
      </c>
      <c r="D35" s="32"/>
    </row>
    <row r="36" spans="1:4" x14ac:dyDescent="0.25">
      <c r="A36" s="27" t="s">
        <v>85</v>
      </c>
      <c r="B36" s="14" t="s">
        <v>50</v>
      </c>
      <c r="C36" s="16">
        <v>1</v>
      </c>
      <c r="D36" s="32"/>
    </row>
    <row r="37" spans="1:4" x14ac:dyDescent="0.25">
      <c r="A37" s="27" t="s">
        <v>86</v>
      </c>
      <c r="B37" s="14" t="s">
        <v>51</v>
      </c>
      <c r="C37" s="16">
        <v>1</v>
      </c>
      <c r="D37" s="32"/>
    </row>
    <row r="38" spans="1:4" x14ac:dyDescent="0.25">
      <c r="A38" s="27" t="s">
        <v>87</v>
      </c>
      <c r="B38" s="14" t="s">
        <v>52</v>
      </c>
      <c r="C38" s="16">
        <v>1</v>
      </c>
      <c r="D38" s="32"/>
    </row>
    <row r="39" spans="1:4" x14ac:dyDescent="0.25">
      <c r="A39" s="27" t="s">
        <v>88</v>
      </c>
      <c r="B39" s="14" t="s">
        <v>53</v>
      </c>
      <c r="C39" s="16">
        <v>1</v>
      </c>
      <c r="D39" s="32"/>
    </row>
    <row r="40" spans="1:4" x14ac:dyDescent="0.25">
      <c r="A40" s="27" t="s">
        <v>89</v>
      </c>
      <c r="B40" s="14" t="s">
        <v>54</v>
      </c>
      <c r="C40" s="16">
        <v>1</v>
      </c>
      <c r="D40" s="32"/>
    </row>
    <row r="41" spans="1:4" x14ac:dyDescent="0.25">
      <c r="A41" s="27" t="s">
        <v>90</v>
      </c>
      <c r="B41" s="14" t="s">
        <v>55</v>
      </c>
      <c r="C41" s="16">
        <v>1</v>
      </c>
      <c r="D41" s="32"/>
    </row>
    <row r="42" spans="1:4" x14ac:dyDescent="0.25">
      <c r="A42" s="33"/>
      <c r="B42" s="34" t="s">
        <v>99</v>
      </c>
      <c r="C42" s="35">
        <f>SUM(C7:C41)</f>
        <v>30</v>
      </c>
      <c r="D42" s="35">
        <f>SUM(D7:D41)</f>
        <v>0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>
      <selection activeCell="G13" sqref="G13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4" ht="24.6" x14ac:dyDescent="0.4">
      <c r="A1" s="28" t="s">
        <v>60</v>
      </c>
      <c r="B1" s="29"/>
      <c r="C1" s="30"/>
    </row>
    <row r="2" spans="1:4" x14ac:dyDescent="0.25">
      <c r="A2" s="20" t="s">
        <v>61</v>
      </c>
      <c r="B2" s="21" t="str">
        <f>'CIS Marking Scheme Import'!D2</f>
        <v>Сетевое и системное администрирование - IT Network Systems Administration</v>
      </c>
      <c r="C2" s="22"/>
    </row>
    <row r="3" spans="1:4" x14ac:dyDescent="0.25">
      <c r="A3" s="20" t="s">
        <v>62</v>
      </c>
      <c r="B3" s="21" t="s">
        <v>93</v>
      </c>
      <c r="C3" s="22"/>
    </row>
    <row r="4" spans="1:4" ht="13.8" thickBot="1" x14ac:dyDescent="0.3">
      <c r="A4" s="20"/>
      <c r="B4" s="21"/>
      <c r="C4" s="22"/>
    </row>
    <row r="5" spans="1:4" ht="40.200000000000003" thickBot="1" x14ac:dyDescent="0.3">
      <c r="A5" s="23" t="s">
        <v>3</v>
      </c>
      <c r="B5" s="11" t="s">
        <v>6</v>
      </c>
      <c r="C5" s="24" t="s">
        <v>10</v>
      </c>
      <c r="D5" s="31" t="s">
        <v>96</v>
      </c>
    </row>
    <row r="6" spans="1:4" x14ac:dyDescent="0.25">
      <c r="A6" s="25" t="s">
        <v>14</v>
      </c>
      <c r="B6" s="26" t="str">
        <f>'CIS Marking Scheme Import'!D4</f>
        <v xml:space="preserve">Windows </v>
      </c>
      <c r="C6" s="25" t="s">
        <v>17</v>
      </c>
      <c r="D6" s="33"/>
    </row>
    <row r="7" spans="1:4" x14ac:dyDescent="0.25">
      <c r="A7" s="27" t="s">
        <v>56</v>
      </c>
      <c r="B7" s="14" t="s">
        <v>21</v>
      </c>
      <c r="C7" s="16">
        <v>0.5</v>
      </c>
      <c r="D7" s="32"/>
    </row>
    <row r="8" spans="1:4" x14ac:dyDescent="0.25">
      <c r="A8" s="27" t="s">
        <v>63</v>
      </c>
      <c r="B8" s="14" t="s">
        <v>22</v>
      </c>
      <c r="C8" s="16">
        <v>0.5</v>
      </c>
      <c r="D8" s="32"/>
    </row>
    <row r="9" spans="1:4" x14ac:dyDescent="0.25">
      <c r="A9" s="27" t="s">
        <v>64</v>
      </c>
      <c r="B9" s="17" t="s">
        <v>23</v>
      </c>
      <c r="C9" s="16">
        <v>0.5</v>
      </c>
      <c r="D9" s="32"/>
    </row>
    <row r="10" spans="1:4" x14ac:dyDescent="0.25">
      <c r="A10" s="27" t="s">
        <v>65</v>
      </c>
      <c r="B10" s="14" t="s">
        <v>24</v>
      </c>
      <c r="C10" s="16">
        <v>0.5</v>
      </c>
      <c r="D10" s="32"/>
    </row>
    <row r="11" spans="1:4" x14ac:dyDescent="0.25">
      <c r="A11" s="27" t="s">
        <v>66</v>
      </c>
      <c r="B11" s="14" t="s">
        <v>25</v>
      </c>
      <c r="C11" s="16">
        <v>0.5</v>
      </c>
      <c r="D11" s="32"/>
    </row>
    <row r="12" spans="1:4" ht="13.8" thickBot="1" x14ac:dyDescent="0.3">
      <c r="A12" s="27" t="s">
        <v>67</v>
      </c>
      <c r="B12" s="14" t="s">
        <v>26</v>
      </c>
      <c r="C12" s="16">
        <v>0.5</v>
      </c>
      <c r="D12" s="32"/>
    </row>
    <row r="13" spans="1:4" x14ac:dyDescent="0.25">
      <c r="A13" s="25" t="s">
        <v>15</v>
      </c>
      <c r="B13" s="26" t="str">
        <f>'CIS Marking Scheme Import'!D5</f>
        <v>VMware</v>
      </c>
      <c r="C13" s="26"/>
      <c r="D13" s="33"/>
    </row>
    <row r="14" spans="1:4" x14ac:dyDescent="0.25">
      <c r="A14" s="27" t="s">
        <v>19</v>
      </c>
      <c r="B14" s="14" t="s">
        <v>28</v>
      </c>
      <c r="C14" s="16">
        <v>0.5</v>
      </c>
      <c r="D14" s="32"/>
    </row>
    <row r="15" spans="1:4" x14ac:dyDescent="0.25">
      <c r="A15" s="27" t="s">
        <v>68</v>
      </c>
      <c r="B15" s="14" t="s">
        <v>29</v>
      </c>
      <c r="C15" s="16">
        <v>1</v>
      </c>
      <c r="D15" s="32"/>
    </row>
    <row r="16" spans="1:4" x14ac:dyDescent="0.25">
      <c r="A16" s="27" t="s">
        <v>69</v>
      </c>
      <c r="B16" s="14" t="s">
        <v>30</v>
      </c>
      <c r="C16" s="16">
        <v>1</v>
      </c>
      <c r="D16" s="32"/>
    </row>
    <row r="17" spans="1:4" x14ac:dyDescent="0.25">
      <c r="A17" s="27" t="s">
        <v>70</v>
      </c>
      <c r="B17" s="14" t="s">
        <v>31</v>
      </c>
      <c r="C17" s="16">
        <v>1</v>
      </c>
      <c r="D17" s="32"/>
    </row>
    <row r="18" spans="1:4" x14ac:dyDescent="0.25">
      <c r="A18" s="27" t="s">
        <v>71</v>
      </c>
      <c r="B18" s="14" t="s">
        <v>32</v>
      </c>
      <c r="C18" s="16">
        <v>1</v>
      </c>
      <c r="D18" s="32"/>
    </row>
    <row r="19" spans="1:4" ht="13.8" thickBot="1" x14ac:dyDescent="0.3">
      <c r="A19" s="27" t="s">
        <v>72</v>
      </c>
      <c r="B19" s="14" t="s">
        <v>33</v>
      </c>
      <c r="C19" s="16">
        <v>1</v>
      </c>
      <c r="D19" s="32"/>
    </row>
    <row r="20" spans="1:4" x14ac:dyDescent="0.25">
      <c r="A20" s="25" t="s">
        <v>16</v>
      </c>
      <c r="B20" s="26" t="str">
        <f>'CIS Marking Scheme Import'!D6</f>
        <v>LINUX</v>
      </c>
      <c r="C20" s="26"/>
      <c r="D20" s="33"/>
    </row>
    <row r="21" spans="1:4" x14ac:dyDescent="0.25">
      <c r="A21" s="27" t="s">
        <v>57</v>
      </c>
      <c r="B21" s="14" t="s">
        <v>35</v>
      </c>
      <c r="C21" s="16">
        <v>1.5</v>
      </c>
      <c r="D21" s="32"/>
    </row>
    <row r="22" spans="1:4" x14ac:dyDescent="0.25">
      <c r="A22" s="27" t="s">
        <v>73</v>
      </c>
      <c r="B22" s="14" t="s">
        <v>36</v>
      </c>
      <c r="C22" s="16">
        <v>1.5</v>
      </c>
      <c r="D22" s="32"/>
    </row>
    <row r="23" spans="1:4" x14ac:dyDescent="0.25">
      <c r="A23" s="27" t="s">
        <v>74</v>
      </c>
      <c r="B23" s="14" t="s">
        <v>37</v>
      </c>
      <c r="C23" s="16">
        <v>1</v>
      </c>
      <c r="D23" s="32"/>
    </row>
    <row r="24" spans="1:4" x14ac:dyDescent="0.25">
      <c r="A24" s="27" t="s">
        <v>75</v>
      </c>
      <c r="B24" s="14" t="s">
        <v>38</v>
      </c>
      <c r="C24" s="16">
        <v>1</v>
      </c>
      <c r="D24" s="32"/>
    </row>
    <row r="25" spans="1:4" x14ac:dyDescent="0.25">
      <c r="A25" s="27" t="s">
        <v>76</v>
      </c>
      <c r="B25" s="14" t="s">
        <v>39</v>
      </c>
      <c r="C25" s="16">
        <v>1</v>
      </c>
      <c r="D25" s="32"/>
    </row>
    <row r="26" spans="1:4" x14ac:dyDescent="0.25">
      <c r="A26" s="27" t="s">
        <v>77</v>
      </c>
      <c r="B26" s="14" t="s">
        <v>40</v>
      </c>
      <c r="C26" s="16">
        <v>1</v>
      </c>
      <c r="D26" s="32"/>
    </row>
    <row r="27" spans="1:4" x14ac:dyDescent="0.25">
      <c r="A27" s="27" t="s">
        <v>78</v>
      </c>
      <c r="B27" s="17" t="s">
        <v>41</v>
      </c>
      <c r="C27" s="16">
        <v>1</v>
      </c>
      <c r="D27" s="32"/>
    </row>
    <row r="28" spans="1:4" x14ac:dyDescent="0.25">
      <c r="A28" s="27" t="s">
        <v>79</v>
      </c>
      <c r="B28" s="17" t="s">
        <v>42</v>
      </c>
      <c r="C28" s="16">
        <v>1</v>
      </c>
      <c r="D28" s="16"/>
    </row>
    <row r="29" spans="1:4" x14ac:dyDescent="0.25">
      <c r="A29" s="27" t="s">
        <v>80</v>
      </c>
      <c r="B29" s="17" t="s">
        <v>43</v>
      </c>
      <c r="C29" s="16">
        <v>1</v>
      </c>
      <c r="D29" s="16"/>
    </row>
    <row r="30" spans="1:4" x14ac:dyDescent="0.25">
      <c r="A30" s="27" t="s">
        <v>81</v>
      </c>
      <c r="B30" s="17" t="s">
        <v>44</v>
      </c>
      <c r="C30" s="16">
        <v>1</v>
      </c>
      <c r="D30" s="32"/>
    </row>
    <row r="31" spans="1:4" x14ac:dyDescent="0.25">
      <c r="A31" s="27" t="s">
        <v>82</v>
      </c>
      <c r="B31" s="17" t="s">
        <v>45</v>
      </c>
      <c r="C31" s="16">
        <v>1</v>
      </c>
      <c r="D31" s="32"/>
    </row>
    <row r="32" spans="1:4" x14ac:dyDescent="0.25">
      <c r="A32" s="27" t="s">
        <v>83</v>
      </c>
      <c r="B32" s="17" t="s">
        <v>46</v>
      </c>
      <c r="C32" s="16">
        <v>1</v>
      </c>
      <c r="D32" s="32"/>
    </row>
    <row r="33" spans="1:4" ht="13.8" thickBot="1" x14ac:dyDescent="0.3">
      <c r="A33" s="27" t="s">
        <v>84</v>
      </c>
      <c r="B33" s="17" t="s">
        <v>47</v>
      </c>
      <c r="C33" s="16">
        <v>1</v>
      </c>
      <c r="D33" s="32"/>
    </row>
    <row r="34" spans="1:4" x14ac:dyDescent="0.25">
      <c r="A34" s="25" t="s">
        <v>59</v>
      </c>
      <c r="B34" s="26" t="str">
        <f>'CIS Marking Scheme Import'!D7</f>
        <v>Monitoring</v>
      </c>
      <c r="C34" s="26"/>
      <c r="D34" s="33"/>
    </row>
    <row r="35" spans="1:4" x14ac:dyDescent="0.25">
      <c r="A35" s="27" t="s">
        <v>58</v>
      </c>
      <c r="B35" s="14" t="s">
        <v>49</v>
      </c>
      <c r="C35" s="16">
        <v>1.5</v>
      </c>
      <c r="D35" s="32"/>
    </row>
    <row r="36" spans="1:4" x14ac:dyDescent="0.25">
      <c r="A36" s="27" t="s">
        <v>85</v>
      </c>
      <c r="B36" s="14" t="s">
        <v>50</v>
      </c>
      <c r="C36" s="16">
        <v>1</v>
      </c>
      <c r="D36" s="32"/>
    </row>
    <row r="37" spans="1:4" x14ac:dyDescent="0.25">
      <c r="A37" s="27" t="s">
        <v>86</v>
      </c>
      <c r="B37" s="14" t="s">
        <v>51</v>
      </c>
      <c r="C37" s="16">
        <v>1</v>
      </c>
      <c r="D37" s="32"/>
    </row>
    <row r="38" spans="1:4" x14ac:dyDescent="0.25">
      <c r="A38" s="27" t="s">
        <v>87</v>
      </c>
      <c r="B38" s="14" t="s">
        <v>52</v>
      </c>
      <c r="C38" s="16">
        <v>1</v>
      </c>
      <c r="D38" s="32"/>
    </row>
    <row r="39" spans="1:4" x14ac:dyDescent="0.25">
      <c r="A39" s="27" t="s">
        <v>88</v>
      </c>
      <c r="B39" s="14" t="s">
        <v>53</v>
      </c>
      <c r="C39" s="16">
        <v>1</v>
      </c>
      <c r="D39" s="32"/>
    </row>
    <row r="40" spans="1:4" x14ac:dyDescent="0.25">
      <c r="A40" s="27" t="s">
        <v>89</v>
      </c>
      <c r="B40" s="14" t="s">
        <v>54</v>
      </c>
      <c r="C40" s="16">
        <v>1</v>
      </c>
      <c r="D40" s="32"/>
    </row>
    <row r="41" spans="1:4" x14ac:dyDescent="0.25">
      <c r="A41" s="27" t="s">
        <v>90</v>
      </c>
      <c r="B41" s="14" t="s">
        <v>55</v>
      </c>
      <c r="C41" s="16">
        <v>1</v>
      </c>
      <c r="D41" s="32"/>
    </row>
    <row r="42" spans="1:4" x14ac:dyDescent="0.25">
      <c r="A42" s="33"/>
      <c r="B42" s="34" t="s">
        <v>99</v>
      </c>
      <c r="C42" s="35">
        <f>SUM(C7:C41)</f>
        <v>30</v>
      </c>
      <c r="D42" s="35">
        <f>SUM(D7:D41)</f>
        <v>0</v>
      </c>
    </row>
  </sheetData>
  <mergeCells count="1">
    <mergeCell ref="A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topLeftCell="A4" workbookViewId="0">
      <selection activeCell="F17" sqref="F17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4" ht="24.6" x14ac:dyDescent="0.4">
      <c r="A1" s="28" t="s">
        <v>60</v>
      </c>
      <c r="B1" s="29"/>
      <c r="C1" s="30"/>
    </row>
    <row r="2" spans="1:4" x14ac:dyDescent="0.25">
      <c r="A2" s="20" t="s">
        <v>61</v>
      </c>
      <c r="B2" s="21" t="str">
        <f>'CIS Marking Scheme Import'!D2</f>
        <v>Сетевое и системное администрирование - IT Network Systems Administration</v>
      </c>
      <c r="C2" s="22"/>
    </row>
    <row r="3" spans="1:4" x14ac:dyDescent="0.25">
      <c r="A3" s="20" t="s">
        <v>62</v>
      </c>
      <c r="B3" s="21" t="s">
        <v>92</v>
      </c>
      <c r="C3" s="22"/>
    </row>
    <row r="4" spans="1:4" ht="13.8" thickBot="1" x14ac:dyDescent="0.3">
      <c r="A4" s="20"/>
      <c r="B4" s="21"/>
      <c r="C4" s="22"/>
    </row>
    <row r="5" spans="1:4" ht="40.200000000000003" thickBot="1" x14ac:dyDescent="0.3">
      <c r="A5" s="23" t="s">
        <v>3</v>
      </c>
      <c r="B5" s="11" t="s">
        <v>6</v>
      </c>
      <c r="C5" s="24" t="s">
        <v>10</v>
      </c>
      <c r="D5" s="31" t="s">
        <v>96</v>
      </c>
    </row>
    <row r="6" spans="1:4" x14ac:dyDescent="0.25">
      <c r="A6" s="25" t="s">
        <v>14</v>
      </c>
      <c r="B6" s="26" t="str">
        <f>'CIS Marking Scheme Import'!D4</f>
        <v xml:space="preserve">Windows </v>
      </c>
      <c r="C6" s="25" t="s">
        <v>17</v>
      </c>
      <c r="D6" s="33"/>
    </row>
    <row r="7" spans="1:4" x14ac:dyDescent="0.25">
      <c r="A7" s="27" t="s">
        <v>56</v>
      </c>
      <c r="B7" s="14" t="s">
        <v>21</v>
      </c>
      <c r="C7" s="16">
        <v>0.5</v>
      </c>
      <c r="D7" s="32"/>
    </row>
    <row r="8" spans="1:4" x14ac:dyDescent="0.25">
      <c r="A8" s="27" t="s">
        <v>63</v>
      </c>
      <c r="B8" s="14" t="s">
        <v>22</v>
      </c>
      <c r="C8" s="16">
        <v>0.5</v>
      </c>
      <c r="D8" s="32"/>
    </row>
    <row r="9" spans="1:4" x14ac:dyDescent="0.25">
      <c r="A9" s="27" t="s">
        <v>64</v>
      </c>
      <c r="B9" s="17" t="s">
        <v>23</v>
      </c>
      <c r="C9" s="16">
        <v>0.5</v>
      </c>
      <c r="D9" s="32"/>
    </row>
    <row r="10" spans="1:4" x14ac:dyDescent="0.25">
      <c r="A10" s="27" t="s">
        <v>65</v>
      </c>
      <c r="B10" s="14" t="s">
        <v>24</v>
      </c>
      <c r="C10" s="16">
        <v>0.5</v>
      </c>
      <c r="D10" s="32"/>
    </row>
    <row r="11" spans="1:4" x14ac:dyDescent="0.25">
      <c r="A11" s="27" t="s">
        <v>66</v>
      </c>
      <c r="B11" s="14" t="s">
        <v>25</v>
      </c>
      <c r="C11" s="16">
        <v>0.5</v>
      </c>
      <c r="D11" s="32"/>
    </row>
    <row r="12" spans="1:4" ht="13.8" thickBot="1" x14ac:dyDescent="0.3">
      <c r="A12" s="27" t="s">
        <v>67</v>
      </c>
      <c r="B12" s="14" t="s">
        <v>26</v>
      </c>
      <c r="C12" s="16">
        <v>0.5</v>
      </c>
      <c r="D12" s="32"/>
    </row>
    <row r="13" spans="1:4" x14ac:dyDescent="0.25">
      <c r="A13" s="25" t="s">
        <v>15</v>
      </c>
      <c r="B13" s="26" t="str">
        <f>'CIS Marking Scheme Import'!D5</f>
        <v>VMware</v>
      </c>
      <c r="C13" s="26"/>
      <c r="D13" s="33"/>
    </row>
    <row r="14" spans="1:4" x14ac:dyDescent="0.25">
      <c r="A14" s="27" t="s">
        <v>19</v>
      </c>
      <c r="B14" s="14" t="s">
        <v>28</v>
      </c>
      <c r="C14" s="16">
        <v>0.5</v>
      </c>
      <c r="D14" s="32"/>
    </row>
    <row r="15" spans="1:4" x14ac:dyDescent="0.25">
      <c r="A15" s="27" t="s">
        <v>68</v>
      </c>
      <c r="B15" s="14" t="s">
        <v>29</v>
      </c>
      <c r="C15" s="16">
        <v>1</v>
      </c>
      <c r="D15" s="32"/>
    </row>
    <row r="16" spans="1:4" x14ac:dyDescent="0.25">
      <c r="A16" s="27" t="s">
        <v>69</v>
      </c>
      <c r="B16" s="14" t="s">
        <v>30</v>
      </c>
      <c r="C16" s="16">
        <v>1</v>
      </c>
      <c r="D16" s="32"/>
    </row>
    <row r="17" spans="1:4" x14ac:dyDescent="0.25">
      <c r="A17" s="27" t="s">
        <v>70</v>
      </c>
      <c r="B17" s="14" t="s">
        <v>31</v>
      </c>
      <c r="C17" s="16">
        <v>1</v>
      </c>
      <c r="D17" s="32"/>
    </row>
    <row r="18" spans="1:4" x14ac:dyDescent="0.25">
      <c r="A18" s="27" t="s">
        <v>71</v>
      </c>
      <c r="B18" s="14" t="s">
        <v>32</v>
      </c>
      <c r="C18" s="16">
        <v>1</v>
      </c>
      <c r="D18" s="32"/>
    </row>
    <row r="19" spans="1:4" ht="13.8" thickBot="1" x14ac:dyDescent="0.3">
      <c r="A19" s="27" t="s">
        <v>72</v>
      </c>
      <c r="B19" s="14" t="s">
        <v>33</v>
      </c>
      <c r="C19" s="16">
        <v>1</v>
      </c>
      <c r="D19" s="32"/>
    </row>
    <row r="20" spans="1:4" x14ac:dyDescent="0.25">
      <c r="A20" s="25" t="s">
        <v>16</v>
      </c>
      <c r="B20" s="26" t="str">
        <f>'CIS Marking Scheme Import'!D6</f>
        <v>LINUX</v>
      </c>
      <c r="C20" s="26"/>
      <c r="D20" s="33"/>
    </row>
    <row r="21" spans="1:4" x14ac:dyDescent="0.25">
      <c r="A21" s="27" t="s">
        <v>57</v>
      </c>
      <c r="B21" s="14" t="s">
        <v>35</v>
      </c>
      <c r="C21" s="16">
        <v>1.5</v>
      </c>
      <c r="D21" s="32"/>
    </row>
    <row r="22" spans="1:4" x14ac:dyDescent="0.25">
      <c r="A22" s="27" t="s">
        <v>73</v>
      </c>
      <c r="B22" s="14" t="s">
        <v>36</v>
      </c>
      <c r="C22" s="16">
        <v>1.5</v>
      </c>
      <c r="D22" s="32"/>
    </row>
    <row r="23" spans="1:4" x14ac:dyDescent="0.25">
      <c r="A23" s="27" t="s">
        <v>74</v>
      </c>
      <c r="B23" s="14" t="s">
        <v>37</v>
      </c>
      <c r="C23" s="16">
        <v>1</v>
      </c>
      <c r="D23" s="32"/>
    </row>
    <row r="24" spans="1:4" x14ac:dyDescent="0.25">
      <c r="A24" s="27" t="s">
        <v>75</v>
      </c>
      <c r="B24" s="14" t="s">
        <v>38</v>
      </c>
      <c r="C24" s="16">
        <v>1</v>
      </c>
      <c r="D24" s="32"/>
    </row>
    <row r="25" spans="1:4" x14ac:dyDescent="0.25">
      <c r="A25" s="27" t="s">
        <v>76</v>
      </c>
      <c r="B25" s="14" t="s">
        <v>39</v>
      </c>
      <c r="C25" s="16">
        <v>1</v>
      </c>
      <c r="D25" s="32"/>
    </row>
    <row r="26" spans="1:4" x14ac:dyDescent="0.25">
      <c r="A26" s="27" t="s">
        <v>77</v>
      </c>
      <c r="B26" s="14" t="s">
        <v>40</v>
      </c>
      <c r="C26" s="16">
        <v>1</v>
      </c>
      <c r="D26" s="32"/>
    </row>
    <row r="27" spans="1:4" x14ac:dyDescent="0.25">
      <c r="A27" s="27" t="s">
        <v>78</v>
      </c>
      <c r="B27" s="17" t="s">
        <v>41</v>
      </c>
      <c r="C27" s="16">
        <v>1</v>
      </c>
      <c r="D27" s="16"/>
    </row>
    <row r="28" spans="1:4" x14ac:dyDescent="0.25">
      <c r="A28" s="27" t="s">
        <v>79</v>
      </c>
      <c r="B28" s="17" t="s">
        <v>42</v>
      </c>
      <c r="C28" s="16">
        <v>1</v>
      </c>
      <c r="D28" s="16"/>
    </row>
    <row r="29" spans="1:4" x14ac:dyDescent="0.25">
      <c r="A29" s="27" t="s">
        <v>80</v>
      </c>
      <c r="B29" s="17" t="s">
        <v>43</v>
      </c>
      <c r="C29" s="16">
        <v>1</v>
      </c>
      <c r="D29" s="16"/>
    </row>
    <row r="30" spans="1:4" x14ac:dyDescent="0.25">
      <c r="A30" s="27" t="s">
        <v>81</v>
      </c>
      <c r="B30" s="17" t="s">
        <v>44</v>
      </c>
      <c r="C30" s="16">
        <v>1</v>
      </c>
      <c r="D30" s="16"/>
    </row>
    <row r="31" spans="1:4" x14ac:dyDescent="0.25">
      <c r="A31" s="27" t="s">
        <v>82</v>
      </c>
      <c r="B31" s="17" t="s">
        <v>45</v>
      </c>
      <c r="C31" s="16">
        <v>1</v>
      </c>
      <c r="D31" s="32"/>
    </row>
    <row r="32" spans="1:4" x14ac:dyDescent="0.25">
      <c r="A32" s="27" t="s">
        <v>83</v>
      </c>
      <c r="B32" s="17" t="s">
        <v>46</v>
      </c>
      <c r="C32" s="16">
        <v>1</v>
      </c>
      <c r="D32" s="32"/>
    </row>
    <row r="33" spans="1:4" ht="13.8" thickBot="1" x14ac:dyDescent="0.3">
      <c r="A33" s="27" t="s">
        <v>84</v>
      </c>
      <c r="B33" s="17" t="s">
        <v>47</v>
      </c>
      <c r="C33" s="16">
        <v>1</v>
      </c>
      <c r="D33" s="32"/>
    </row>
    <row r="34" spans="1:4" x14ac:dyDescent="0.25">
      <c r="A34" s="25" t="s">
        <v>59</v>
      </c>
      <c r="B34" s="26" t="str">
        <f>'CIS Marking Scheme Import'!D7</f>
        <v>Monitoring</v>
      </c>
      <c r="C34" s="26"/>
      <c r="D34" s="33"/>
    </row>
    <row r="35" spans="1:4" x14ac:dyDescent="0.25">
      <c r="A35" s="27" t="s">
        <v>58</v>
      </c>
      <c r="B35" s="14" t="s">
        <v>49</v>
      </c>
      <c r="C35" s="16">
        <v>1.5</v>
      </c>
      <c r="D35" s="32"/>
    </row>
    <row r="36" spans="1:4" x14ac:dyDescent="0.25">
      <c r="A36" s="27" t="s">
        <v>85</v>
      </c>
      <c r="B36" s="14" t="s">
        <v>50</v>
      </c>
      <c r="C36" s="16">
        <v>1</v>
      </c>
      <c r="D36" s="32"/>
    </row>
    <row r="37" spans="1:4" x14ac:dyDescent="0.25">
      <c r="A37" s="27" t="s">
        <v>86</v>
      </c>
      <c r="B37" s="14" t="s">
        <v>51</v>
      </c>
      <c r="C37" s="16">
        <v>1</v>
      </c>
      <c r="D37" s="32"/>
    </row>
    <row r="38" spans="1:4" x14ac:dyDescent="0.25">
      <c r="A38" s="27" t="s">
        <v>87</v>
      </c>
      <c r="B38" s="14" t="s">
        <v>52</v>
      </c>
      <c r="C38" s="16">
        <v>1</v>
      </c>
      <c r="D38" s="32"/>
    </row>
    <row r="39" spans="1:4" x14ac:dyDescent="0.25">
      <c r="A39" s="27" t="s">
        <v>88</v>
      </c>
      <c r="B39" s="14" t="s">
        <v>53</v>
      </c>
      <c r="C39" s="16">
        <v>1</v>
      </c>
      <c r="D39" s="32"/>
    </row>
    <row r="40" spans="1:4" x14ac:dyDescent="0.25">
      <c r="A40" s="27" t="s">
        <v>89</v>
      </c>
      <c r="B40" s="14" t="s">
        <v>54</v>
      </c>
      <c r="C40" s="16">
        <v>1</v>
      </c>
      <c r="D40" s="32"/>
    </row>
    <row r="41" spans="1:4" x14ac:dyDescent="0.25">
      <c r="A41" s="27" t="s">
        <v>90</v>
      </c>
      <c r="B41" s="14" t="s">
        <v>55</v>
      </c>
      <c r="C41" s="16">
        <v>1</v>
      </c>
      <c r="D41" s="32"/>
    </row>
    <row r="42" spans="1:4" x14ac:dyDescent="0.25">
      <c r="A42" s="33"/>
      <c r="B42" s="34" t="s">
        <v>99</v>
      </c>
      <c r="C42" s="35">
        <f>SUM(C7:C41)</f>
        <v>30</v>
      </c>
      <c r="D42" s="35">
        <f>SUM(D7:D41)</f>
        <v>0</v>
      </c>
    </row>
  </sheetData>
  <mergeCells count="1">
    <mergeCell ref="A1:C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>
      <selection activeCell="D35" sqref="D35:D39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4" ht="24.6" x14ac:dyDescent="0.4">
      <c r="A1" s="28" t="s">
        <v>60</v>
      </c>
      <c r="B1" s="29"/>
      <c r="C1" s="30"/>
    </row>
    <row r="2" spans="1:4" x14ac:dyDescent="0.25">
      <c r="A2" s="20" t="s">
        <v>61</v>
      </c>
      <c r="B2" s="21" t="str">
        <f>'CIS Marking Scheme Import'!D2</f>
        <v>Сетевое и системное администрирование - IT Network Systems Administration</v>
      </c>
      <c r="C2" s="22"/>
    </row>
    <row r="3" spans="1:4" x14ac:dyDescent="0.25">
      <c r="A3" s="20" t="s">
        <v>62</v>
      </c>
      <c r="B3" s="21" t="s">
        <v>94</v>
      </c>
      <c r="C3" s="22"/>
    </row>
    <row r="4" spans="1:4" ht="13.8" thickBot="1" x14ac:dyDescent="0.3">
      <c r="A4" s="20"/>
      <c r="B4" s="21"/>
      <c r="C4" s="22"/>
    </row>
    <row r="5" spans="1:4" ht="40.200000000000003" thickBot="1" x14ac:dyDescent="0.3">
      <c r="A5" s="23" t="s">
        <v>3</v>
      </c>
      <c r="B5" s="11" t="s">
        <v>6</v>
      </c>
      <c r="C5" s="24" t="s">
        <v>10</v>
      </c>
      <c r="D5" s="31" t="s">
        <v>96</v>
      </c>
    </row>
    <row r="6" spans="1:4" x14ac:dyDescent="0.25">
      <c r="A6" s="25" t="s">
        <v>14</v>
      </c>
      <c r="B6" s="26" t="str">
        <f>'CIS Marking Scheme Import'!D4</f>
        <v xml:space="preserve">Windows </v>
      </c>
      <c r="C6" s="25" t="s">
        <v>17</v>
      </c>
      <c r="D6" s="33"/>
    </row>
    <row r="7" spans="1:4" x14ac:dyDescent="0.25">
      <c r="A7" s="27" t="s">
        <v>56</v>
      </c>
      <c r="B7" s="14" t="s">
        <v>21</v>
      </c>
      <c r="C7" s="16">
        <v>0.5</v>
      </c>
      <c r="D7" s="32"/>
    </row>
    <row r="8" spans="1:4" x14ac:dyDescent="0.25">
      <c r="A8" s="27" t="s">
        <v>63</v>
      </c>
      <c r="B8" s="14" t="s">
        <v>22</v>
      </c>
      <c r="C8" s="16">
        <v>0.5</v>
      </c>
      <c r="D8" s="32"/>
    </row>
    <row r="9" spans="1:4" x14ac:dyDescent="0.25">
      <c r="A9" s="27" t="s">
        <v>64</v>
      </c>
      <c r="B9" s="17" t="s">
        <v>23</v>
      </c>
      <c r="C9" s="16">
        <v>0.5</v>
      </c>
      <c r="D9" s="32"/>
    </row>
    <row r="10" spans="1:4" x14ac:dyDescent="0.25">
      <c r="A10" s="27" t="s">
        <v>65</v>
      </c>
      <c r="B10" s="14" t="s">
        <v>24</v>
      </c>
      <c r="C10" s="16">
        <v>0.5</v>
      </c>
      <c r="D10" s="32"/>
    </row>
    <row r="11" spans="1:4" x14ac:dyDescent="0.25">
      <c r="A11" s="27" t="s">
        <v>66</v>
      </c>
      <c r="B11" s="14" t="s">
        <v>25</v>
      </c>
      <c r="C11" s="16">
        <v>0.5</v>
      </c>
      <c r="D11" s="32"/>
    </row>
    <row r="12" spans="1:4" ht="13.8" thickBot="1" x14ac:dyDescent="0.3">
      <c r="A12" s="27" t="s">
        <v>67</v>
      </c>
      <c r="B12" s="14" t="s">
        <v>26</v>
      </c>
      <c r="C12" s="16">
        <v>0.5</v>
      </c>
      <c r="D12" s="32"/>
    </row>
    <row r="13" spans="1:4" x14ac:dyDescent="0.25">
      <c r="A13" s="25" t="s">
        <v>15</v>
      </c>
      <c r="B13" s="26" t="str">
        <f>'CIS Marking Scheme Import'!D5</f>
        <v>VMware</v>
      </c>
      <c r="C13" s="26"/>
      <c r="D13" s="33"/>
    </row>
    <row r="14" spans="1:4" x14ac:dyDescent="0.25">
      <c r="A14" s="27" t="s">
        <v>19</v>
      </c>
      <c r="B14" s="14" t="s">
        <v>28</v>
      </c>
      <c r="C14" s="16">
        <v>0.5</v>
      </c>
      <c r="D14" s="32"/>
    </row>
    <row r="15" spans="1:4" x14ac:dyDescent="0.25">
      <c r="A15" s="27" t="s">
        <v>68</v>
      </c>
      <c r="B15" s="14" t="s">
        <v>29</v>
      </c>
      <c r="C15" s="16">
        <v>1</v>
      </c>
      <c r="D15" s="32"/>
    </row>
    <row r="16" spans="1:4" x14ac:dyDescent="0.25">
      <c r="A16" s="27" t="s">
        <v>69</v>
      </c>
      <c r="B16" s="14" t="s">
        <v>30</v>
      </c>
      <c r="C16" s="16">
        <v>1</v>
      </c>
      <c r="D16" s="32"/>
    </row>
    <row r="17" spans="1:4" x14ac:dyDescent="0.25">
      <c r="A17" s="27" t="s">
        <v>70</v>
      </c>
      <c r="B17" s="14" t="s">
        <v>31</v>
      </c>
      <c r="C17" s="16">
        <v>1</v>
      </c>
      <c r="D17" s="32"/>
    </row>
    <row r="18" spans="1:4" x14ac:dyDescent="0.25">
      <c r="A18" s="27" t="s">
        <v>71</v>
      </c>
      <c r="B18" s="14" t="s">
        <v>32</v>
      </c>
      <c r="C18" s="16">
        <v>1</v>
      </c>
      <c r="D18" s="32"/>
    </row>
    <row r="19" spans="1:4" ht="13.8" thickBot="1" x14ac:dyDescent="0.3">
      <c r="A19" s="27" t="s">
        <v>72</v>
      </c>
      <c r="B19" s="14" t="s">
        <v>33</v>
      </c>
      <c r="C19" s="16">
        <v>1</v>
      </c>
      <c r="D19" s="32"/>
    </row>
    <row r="20" spans="1:4" x14ac:dyDescent="0.25">
      <c r="A20" s="25" t="s">
        <v>16</v>
      </c>
      <c r="B20" s="26" t="str">
        <f>'CIS Marking Scheme Import'!D6</f>
        <v>LINUX</v>
      </c>
      <c r="C20" s="26"/>
      <c r="D20" s="33"/>
    </row>
    <row r="21" spans="1:4" x14ac:dyDescent="0.25">
      <c r="A21" s="27" t="s">
        <v>57</v>
      </c>
      <c r="B21" s="14" t="s">
        <v>35</v>
      </c>
      <c r="C21" s="16">
        <v>1.5</v>
      </c>
      <c r="D21" s="32"/>
    </row>
    <row r="22" spans="1:4" x14ac:dyDescent="0.25">
      <c r="A22" s="27" t="s">
        <v>73</v>
      </c>
      <c r="B22" s="14" t="s">
        <v>36</v>
      </c>
      <c r="C22" s="16">
        <v>1.5</v>
      </c>
      <c r="D22" s="32"/>
    </row>
    <row r="23" spans="1:4" x14ac:dyDescent="0.25">
      <c r="A23" s="27" t="s">
        <v>74</v>
      </c>
      <c r="B23" s="14" t="s">
        <v>37</v>
      </c>
      <c r="C23" s="16">
        <v>1</v>
      </c>
      <c r="D23" s="32"/>
    </row>
    <row r="24" spans="1:4" x14ac:dyDescent="0.25">
      <c r="A24" s="27" t="s">
        <v>75</v>
      </c>
      <c r="B24" s="14" t="s">
        <v>38</v>
      </c>
      <c r="C24" s="16">
        <v>1</v>
      </c>
      <c r="D24" s="32"/>
    </row>
    <row r="25" spans="1:4" x14ac:dyDescent="0.25">
      <c r="A25" s="27" t="s">
        <v>76</v>
      </c>
      <c r="B25" s="14" t="s">
        <v>39</v>
      </c>
      <c r="C25" s="16">
        <v>1</v>
      </c>
      <c r="D25" s="32"/>
    </row>
    <row r="26" spans="1:4" x14ac:dyDescent="0.25">
      <c r="A26" s="27" t="s">
        <v>77</v>
      </c>
      <c r="B26" s="14" t="s">
        <v>40</v>
      </c>
      <c r="C26" s="16">
        <v>1</v>
      </c>
      <c r="D26" s="32"/>
    </row>
    <row r="27" spans="1:4" x14ac:dyDescent="0.25">
      <c r="A27" s="27" t="s">
        <v>78</v>
      </c>
      <c r="B27" s="17" t="s">
        <v>41</v>
      </c>
      <c r="C27" s="16">
        <v>1</v>
      </c>
      <c r="D27" s="32"/>
    </row>
    <row r="28" spans="1:4" x14ac:dyDescent="0.25">
      <c r="A28" s="27" t="s">
        <v>79</v>
      </c>
      <c r="B28" s="17" t="s">
        <v>42</v>
      </c>
      <c r="C28" s="16">
        <v>1</v>
      </c>
      <c r="D28" s="32"/>
    </row>
    <row r="29" spans="1:4" x14ac:dyDescent="0.25">
      <c r="A29" s="27" t="s">
        <v>80</v>
      </c>
      <c r="B29" s="17" t="s">
        <v>43</v>
      </c>
      <c r="C29" s="16">
        <v>1</v>
      </c>
      <c r="D29" s="32"/>
    </row>
    <row r="30" spans="1:4" x14ac:dyDescent="0.25">
      <c r="A30" s="27" t="s">
        <v>81</v>
      </c>
      <c r="B30" s="17" t="s">
        <v>44</v>
      </c>
      <c r="C30" s="16">
        <v>1</v>
      </c>
      <c r="D30" s="32"/>
    </row>
    <row r="31" spans="1:4" x14ac:dyDescent="0.25">
      <c r="A31" s="27" t="s">
        <v>82</v>
      </c>
      <c r="B31" s="17" t="s">
        <v>45</v>
      </c>
      <c r="C31" s="16">
        <v>1</v>
      </c>
      <c r="D31" s="32"/>
    </row>
    <row r="32" spans="1:4" x14ac:dyDescent="0.25">
      <c r="A32" s="27" t="s">
        <v>83</v>
      </c>
      <c r="B32" s="17" t="s">
        <v>46</v>
      </c>
      <c r="C32" s="16">
        <v>1</v>
      </c>
      <c r="D32" s="32"/>
    </row>
    <row r="33" spans="1:4" ht="13.8" thickBot="1" x14ac:dyDescent="0.3">
      <c r="A33" s="27" t="s">
        <v>84</v>
      </c>
      <c r="B33" s="17" t="s">
        <v>47</v>
      </c>
      <c r="C33" s="16">
        <v>1</v>
      </c>
      <c r="D33" s="32"/>
    </row>
    <row r="34" spans="1:4" x14ac:dyDescent="0.25">
      <c r="A34" s="25" t="s">
        <v>59</v>
      </c>
      <c r="B34" s="26" t="str">
        <f>'CIS Marking Scheme Import'!D7</f>
        <v>Monitoring</v>
      </c>
      <c r="C34" s="26"/>
      <c r="D34" s="33"/>
    </row>
    <row r="35" spans="1:4" x14ac:dyDescent="0.25">
      <c r="A35" s="27" t="s">
        <v>58</v>
      </c>
      <c r="B35" s="14" t="s">
        <v>49</v>
      </c>
      <c r="C35" s="16">
        <v>1.5</v>
      </c>
      <c r="D35" s="16"/>
    </row>
    <row r="36" spans="1:4" x14ac:dyDescent="0.25">
      <c r="A36" s="27" t="s">
        <v>85</v>
      </c>
      <c r="B36" s="14" t="s">
        <v>50</v>
      </c>
      <c r="C36" s="16">
        <v>1</v>
      </c>
      <c r="D36" s="16"/>
    </row>
    <row r="37" spans="1:4" x14ac:dyDescent="0.25">
      <c r="A37" s="27" t="s">
        <v>86</v>
      </c>
      <c r="B37" s="14" t="s">
        <v>51</v>
      </c>
      <c r="C37" s="16">
        <v>1</v>
      </c>
      <c r="D37" s="16"/>
    </row>
    <row r="38" spans="1:4" x14ac:dyDescent="0.25">
      <c r="A38" s="27" t="s">
        <v>87</v>
      </c>
      <c r="B38" s="14" t="s">
        <v>52</v>
      </c>
      <c r="C38" s="16">
        <v>1</v>
      </c>
      <c r="D38" s="16"/>
    </row>
    <row r="39" spans="1:4" x14ac:dyDescent="0.25">
      <c r="A39" s="27" t="s">
        <v>88</v>
      </c>
      <c r="B39" s="14" t="s">
        <v>53</v>
      </c>
      <c r="C39" s="16">
        <v>1</v>
      </c>
      <c r="D39" s="16"/>
    </row>
    <row r="40" spans="1:4" x14ac:dyDescent="0.25">
      <c r="A40" s="27" t="s">
        <v>89</v>
      </c>
      <c r="B40" s="14" t="s">
        <v>54</v>
      </c>
      <c r="C40" s="16">
        <v>1</v>
      </c>
      <c r="D40" s="32"/>
    </row>
    <row r="41" spans="1:4" x14ac:dyDescent="0.25">
      <c r="A41" s="27" t="s">
        <v>90</v>
      </c>
      <c r="B41" s="14" t="s">
        <v>55</v>
      </c>
      <c r="C41" s="16">
        <v>1</v>
      </c>
      <c r="D41" s="32"/>
    </row>
    <row r="42" spans="1:4" x14ac:dyDescent="0.25">
      <c r="A42" s="33"/>
      <c r="B42" s="34" t="s">
        <v>99</v>
      </c>
      <c r="C42" s="35">
        <f>SUM(C7:C41)</f>
        <v>30</v>
      </c>
      <c r="D42" s="35">
        <f>SUM(D7:D41)</f>
        <v>0</v>
      </c>
    </row>
  </sheetData>
  <mergeCells count="1"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tabSelected="1" workbookViewId="0">
      <selection activeCell="E15" sqref="E15"/>
    </sheetView>
  </sheetViews>
  <sheetFormatPr defaultRowHeight="13.2" x14ac:dyDescent="0.25"/>
  <cols>
    <col min="1" max="1" width="13.44140625" bestFit="1" customWidth="1"/>
    <col min="2" max="2" width="79.88671875" bestFit="1" customWidth="1"/>
    <col min="3" max="3" width="15.88671875" customWidth="1"/>
  </cols>
  <sheetData>
    <row r="1" spans="1:3" ht="24.6" x14ac:dyDescent="0.4">
      <c r="A1" s="28" t="s">
        <v>60</v>
      </c>
      <c r="B1" s="29"/>
      <c r="C1" s="30"/>
    </row>
    <row r="2" spans="1:3" x14ac:dyDescent="0.25">
      <c r="A2" s="20" t="s">
        <v>61</v>
      </c>
      <c r="B2" s="21" t="str">
        <f>'CIS Marking Scheme Import'!D2</f>
        <v>Сетевое и системное администрирование - IT Network Systems Administration</v>
      </c>
      <c r="C2" s="22"/>
    </row>
    <row r="3" spans="1:3" x14ac:dyDescent="0.25">
      <c r="A3" s="20" t="s">
        <v>62</v>
      </c>
      <c r="B3" s="21" t="s">
        <v>98</v>
      </c>
      <c r="C3" s="22"/>
    </row>
    <row r="4" spans="1:3" x14ac:dyDescent="0.25">
      <c r="A4" s="20"/>
      <c r="B4" s="21"/>
      <c r="C4" s="22"/>
    </row>
    <row r="5" spans="1:3" x14ac:dyDescent="0.25">
      <c r="A5" s="31" t="s">
        <v>95</v>
      </c>
      <c r="B5" s="31" t="s">
        <v>96</v>
      </c>
      <c r="C5" s="31" t="s">
        <v>97</v>
      </c>
    </row>
    <row r="6" spans="1:3" x14ac:dyDescent="0.25">
      <c r="A6" s="32" t="str">
        <f>'Efremov E'!B3</f>
        <v>Efremov E.</v>
      </c>
      <c r="B6" s="36">
        <f>'Efremov E'!D42</f>
        <v>0</v>
      </c>
      <c r="C6" s="32"/>
    </row>
    <row r="7" spans="1:3" x14ac:dyDescent="0.25">
      <c r="A7" s="32" t="str">
        <f>'Netepenko A'!B3</f>
        <v>Netepenko A.</v>
      </c>
      <c r="B7" s="36">
        <f>'Netepenko A'!D42</f>
        <v>0</v>
      </c>
      <c r="C7" s="32"/>
    </row>
    <row r="8" spans="1:3" x14ac:dyDescent="0.25">
      <c r="A8" s="32" t="str">
        <f>'Marchenko M'!B3</f>
        <v>Marchenko M.</v>
      </c>
      <c r="B8" s="36">
        <f>'Marchenko M'!D42</f>
        <v>0</v>
      </c>
      <c r="C8" s="32"/>
    </row>
    <row r="9" spans="1:3" x14ac:dyDescent="0.25">
      <c r="A9" s="32" t="str">
        <f>'Osipov A'!B3</f>
        <v>Osipov A.</v>
      </c>
      <c r="B9" s="36">
        <f>'Osipov A'!D42</f>
        <v>0</v>
      </c>
      <c r="C9" s="32"/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CIS Marking Scheme Import</vt:lpstr>
      <vt:lpstr>Efremov E</vt:lpstr>
      <vt:lpstr>Netepenko A</vt:lpstr>
      <vt:lpstr>Marchenko M</vt:lpstr>
      <vt:lpstr>Osipov A</vt:lpstr>
      <vt:lpstr>Summary</vt:lpstr>
    </vt:vector>
  </TitlesOfParts>
  <Company>WorldSkills International Secretariat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Walsh</dc:creator>
  <cp:lastModifiedBy>MGMT</cp:lastModifiedBy>
  <cp:lastPrinted>2010-04-28T04:08:36Z</cp:lastPrinted>
  <dcterms:created xsi:type="dcterms:W3CDTF">2010-04-27T04:25:00Z</dcterms:created>
  <dcterms:modified xsi:type="dcterms:W3CDTF">2021-10-20T09:22:38Z</dcterms:modified>
</cp:coreProperties>
</file>